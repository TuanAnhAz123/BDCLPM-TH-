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TUANANH\Downloads\"/>
    </mc:Choice>
  </mc:AlternateContent>
  <xr:revisionPtr revIDLastSave="0" documentId="8_{9C0F1CDE-0F17-49BB-BB8D-B0CD9203408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Scenarios" sheetId="1" r:id="rId1"/>
    <sheet name="Test Cases" sheetId="2" r:id="rId2"/>
    <sheet name="Test Result Repor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9" i="3" l="1"/>
  <c r="B58" i="3"/>
  <c r="B57" i="3"/>
  <c r="B56" i="3"/>
  <c r="B60" i="3" s="1"/>
</calcChain>
</file>

<file path=xl/sharedStrings.xml><?xml version="1.0" encoding="utf-8"?>
<sst xmlns="http://schemas.openxmlformats.org/spreadsheetml/2006/main" count="1119" uniqueCount="599">
  <si>
    <t>TEST SCENARIOS – ParaBank Selenium Automation</t>
  </si>
  <si>
    <t>ID</t>
  </si>
  <si>
    <t>Module</t>
  </si>
  <si>
    <t>Scenario Name</t>
  </si>
  <si>
    <t>Điều kiện tiên quyết</t>
  </si>
  <si>
    <t>Bước thực hiện tóm tắt</t>
  </si>
  <si>
    <t>Kết quả mong đợi</t>
  </si>
  <si>
    <t>Loại Test</t>
  </si>
  <si>
    <t>TS-001</t>
  </si>
  <si>
    <t>User Registration</t>
  </si>
  <si>
    <t>Đăng ký tài khoản với đầy đủ thông tin hợp lệ</t>
  </si>
  <si>
    <t>Chưa đăng nhập</t>
  </si>
  <si>
    <t>Điền đầy đủ First/Last name, Address, Phone, SSN, Username, Password, Confirm → Submit</t>
  </si>
  <si>
    <t>Tài khoản được tạo thành công, redirect sang trang Welcome</t>
  </si>
  <si>
    <t>Functional</t>
  </si>
  <si>
    <t>TS-002</t>
  </si>
  <si>
    <t>Đăng ký thiếu First Name</t>
  </si>
  <si>
    <t>Bỏ trống First Name, điền các field còn lại → Submit</t>
  </si>
  <si>
    <t>Hiển thị thông báo lỗi 'First name is required'</t>
  </si>
  <si>
    <t>GUI + Functional</t>
  </si>
  <si>
    <t>TS-003</t>
  </si>
  <si>
    <t>Đăng ký thiếu Last Name</t>
  </si>
  <si>
    <t>Bỏ trống Last Name → Submit</t>
  </si>
  <si>
    <t>Hiển thị thông báo lỗi 'Last name is required'</t>
  </si>
  <si>
    <t>TS-004</t>
  </si>
  <si>
    <t>Đăng ký thiếu Address</t>
  </si>
  <si>
    <t>Bỏ trống Address → Submit</t>
  </si>
  <si>
    <t>Hiển thị thông báo lỗi 'Address is required'</t>
  </si>
  <si>
    <t>TS-005</t>
  </si>
  <si>
    <t>Đăng ký với username đã tồn tại</t>
  </si>
  <si>
    <t>Username đã dùng</t>
  </si>
  <si>
    <t>Nhập username trùng → Submit</t>
  </si>
  <si>
    <t>Hiển thị thông báo lỗi username đã được sử dụng</t>
  </si>
  <si>
    <t>TS-006</t>
  </si>
  <si>
    <t>Password và Confirm Password không khớp</t>
  </si>
  <si>
    <t>Nhập Password ≠ Confirm Password → Submit</t>
  </si>
  <si>
    <t>Hiển thị thông báo lỗi 'Passwords did not match'</t>
  </si>
  <si>
    <t>TS-007</t>
  </si>
  <si>
    <t>Đăng ký thiếu Password</t>
  </si>
  <si>
    <t>Bỏ trống Password → Submit</t>
  </si>
  <si>
    <t>Hiển thị lỗi 'Password is required'</t>
  </si>
  <si>
    <t>TS-008</t>
  </si>
  <si>
    <t>Login / Logout</t>
  </si>
  <si>
    <t>Đăng nhập thành công với thông tin hợp lệ</t>
  </si>
  <si>
    <t>Có tài khoản hợp lệ</t>
  </si>
  <si>
    <t>Nhập username, password hợp lệ → Log In</t>
  </si>
  <si>
    <t>Redirect sang trang Account Overview</t>
  </si>
  <si>
    <t>Smoke + Functional</t>
  </si>
  <si>
    <t>TS-009</t>
  </si>
  <si>
    <t>Đăng nhập sai password</t>
  </si>
  <si>
    <t>Có tài khoản</t>
  </si>
  <si>
    <t>Nhập đúng username, sai password → Log In</t>
  </si>
  <si>
    <t>Hiển thị lỗi 'The username and password could not be verified'</t>
  </si>
  <si>
    <t>TS-010</t>
  </si>
  <si>
    <t>Đăng nhập sai username</t>
  </si>
  <si>
    <t>Nhập username không tồn tại → Log In</t>
  </si>
  <si>
    <t>Hiển thị thông báo lỗi xác thực</t>
  </si>
  <si>
    <t>TS-011</t>
  </si>
  <si>
    <t>Đăng nhập bỏ trống cả hai field</t>
  </si>
  <si>
    <t>Để trống username và password → Log In</t>
  </si>
  <si>
    <t>Hiển thị lỗi 'Please enter a username and password'</t>
  </si>
  <si>
    <t>TS-012</t>
  </si>
  <si>
    <t>Logout thành công</t>
  </si>
  <si>
    <t>Đã đăng nhập</t>
  </si>
  <si>
    <t>Click 'Log Out'</t>
  </si>
  <si>
    <t>Redirect về trang Home, không truy cập được trang Account</t>
  </si>
  <si>
    <t>TS-013</t>
  </si>
  <si>
    <t>Kiểm tra các element GUI trang Login</t>
  </si>
  <si>
    <t>Mở trang login, quan sát giao diện</t>
  </si>
  <si>
    <t>Textbox, button Login hiển thị, nhập được, placeholder đúng</t>
  </si>
  <si>
    <t>GUI</t>
  </si>
  <si>
    <t>TS-014</t>
  </si>
  <si>
    <t>Account Overview</t>
  </si>
  <si>
    <t>Xem danh sách tài khoản sau đăng nhập</t>
  </si>
  <si>
    <t>Click 'Accounts Overview'</t>
  </si>
  <si>
    <t>Hiển thị danh sách tài khoản với balance và available amount</t>
  </si>
  <si>
    <t>TS-015</t>
  </si>
  <si>
    <t>Click vào tài khoản xem chi tiết giao dịch</t>
  </si>
  <si>
    <t>Đã đăng nhập, có tài khoản</t>
  </si>
  <si>
    <t>Click vào số tài khoản</t>
  </si>
  <si>
    <t>Chuyển sang trang hiển thị lịch sử giao dịch của tài khoản</t>
  </si>
  <si>
    <t>TS-016</t>
  </si>
  <si>
    <t>Open New Account</t>
  </si>
  <si>
    <t>Mở tài khoản Checking thành công</t>
  </si>
  <si>
    <t>Đã đăng nhập, có tài khoản gốc</t>
  </si>
  <si>
    <t>Chọn loại Checking, chọn tài khoản nguồn → Open New Account</t>
  </si>
  <si>
    <t>Tạo thành công, hiển thị số tài khoản mới</t>
  </si>
  <si>
    <t>TS-017</t>
  </si>
  <si>
    <t>Mở tài khoản Savings thành công</t>
  </si>
  <si>
    <t>Chọn loại Savings → Open New Account</t>
  </si>
  <si>
    <t>Tạo thành công, hiển thị số tài khoản Savings mới</t>
  </si>
  <si>
    <t>TS-018</t>
  </si>
  <si>
    <t>Kiểm tra dropdown loại tài khoản</t>
  </si>
  <si>
    <t>Mở form Open New Account</t>
  </si>
  <si>
    <t>Dropdown hiển thị 2 option: Checking và Savings</t>
  </si>
  <si>
    <t>TS-019</t>
  </si>
  <si>
    <t>Transfer Funds</t>
  </si>
  <si>
    <t>Chuyển tiền thành công giữa 2 tài khoản</t>
  </si>
  <si>
    <t>Đã đăng nhập, có ≥2 tài khoản, đủ số dư</t>
  </si>
  <si>
    <t>Chọn From/To, nhập Amount hợp lệ → Transfer</t>
  </si>
  <si>
    <t>Chuyển tiền thành công, số dư cập nhật đúng</t>
  </si>
  <si>
    <t>TS-020</t>
  </si>
  <si>
    <t>Chuyển tiền với số tiền = 0</t>
  </si>
  <si>
    <t>Đã đăng nhập, có ≥2 tài khoản</t>
  </si>
  <si>
    <t>Nhập Amount = 0 → Transfer</t>
  </si>
  <si>
    <t>Hiển thị lỗi số tiền không hợp lệ</t>
  </si>
  <si>
    <t>TS-021</t>
  </si>
  <si>
    <t>Chuyển tiền vượt quá số dư</t>
  </si>
  <si>
    <t>Nhập Amount &gt; Balance → Transfer</t>
  </si>
  <si>
    <t>Hiển thị thông báo không đủ số dư</t>
  </si>
  <si>
    <t>TS-022</t>
  </si>
  <si>
    <t>Kiểm tra GUI form Transfer Funds</t>
  </si>
  <si>
    <t>Truy cập Transfer Funds</t>
  </si>
  <si>
    <t>Form hiển thị dropdown From/To, input Amount, button Transfer</t>
  </si>
  <si>
    <t>TS-023</t>
  </si>
  <si>
    <t>Bill Pay</t>
  </si>
  <si>
    <t>Thanh toán hóa đơn với đầy đủ thông tin hợp lệ</t>
  </si>
  <si>
    <t>Điền Payee info, nhập Amount → Send Payment</t>
  </si>
  <si>
    <t>Thanh toán thành công, hiển thị confirmation</t>
  </si>
  <si>
    <t>TS-024</t>
  </si>
  <si>
    <t>Thanh toán thiếu Payee Name</t>
  </si>
  <si>
    <t>Bỏ trống Payee Name → Send Payment</t>
  </si>
  <si>
    <t>Hiển thị lỗi 'Payee name is required'</t>
  </si>
  <si>
    <t>TS-025</t>
  </si>
  <si>
    <t>Thanh toán với Account Number không hợp lệ</t>
  </si>
  <si>
    <t>Nhập Account Number sai định dạng → Send Payment</t>
  </si>
  <si>
    <t>Hiển thị lỗi validation account number</t>
  </si>
  <si>
    <t>TS-026</t>
  </si>
  <si>
    <t>Kiểm tra GUI form Bill Pay</t>
  </si>
  <si>
    <t>Truy cập Bill Pay</t>
  </si>
  <si>
    <t>Tất cả field input hiển thị, nhập được, button Send Payment hoạt động</t>
  </si>
  <si>
    <t>TS-027</t>
  </si>
  <si>
    <t>Find Transactions</t>
  </si>
  <si>
    <t>Tìm kiếm giao dịch theo ngày hợp lệ</t>
  </si>
  <si>
    <t>Đã đăng nhập, có giao dịch</t>
  </si>
  <si>
    <t>Chọn tài khoản, nhập Date → Find Transactions</t>
  </si>
  <si>
    <t>Hiển thị danh sách giao dịch trong ngày đó</t>
  </si>
  <si>
    <t>TS-028</t>
  </si>
  <si>
    <t>Tìm kiếm theo Amount</t>
  </si>
  <si>
    <t>Nhập Amount → Find by Amount</t>
  </si>
  <si>
    <t>Hiển thị giao dịch khớp số tiền</t>
  </si>
  <si>
    <t>TS-029</t>
  </si>
  <si>
    <t>Tìm kiếm không có kết quả</t>
  </si>
  <si>
    <t>Nhập ngày không có giao dịch</t>
  </si>
  <si>
    <t>Hiển thị thông báo không tìm thấy giao dịch</t>
  </si>
  <si>
    <t>TS-030</t>
  </si>
  <si>
    <t>Update Contact Info</t>
  </si>
  <si>
    <t>Cập nhật thông tin liên hệ hợp lệ</t>
  </si>
  <si>
    <t>Thay đổi Address, Phone → Update Profile</t>
  </si>
  <si>
    <t>Cập nhật thành công, thông tin mới được lưu</t>
  </si>
  <si>
    <t>TS-031</t>
  </si>
  <si>
    <t>Cập nhật thiếu First Name</t>
  </si>
  <si>
    <t>Xóa First Name → Update Profile</t>
  </si>
  <si>
    <t>Hiển thị lỗi 'First name is required'</t>
  </si>
  <si>
    <t>TS-032</t>
  </si>
  <si>
    <t>Kiểm tra form Update Contact Info có load đúng dữ liệu</t>
  </si>
  <si>
    <t>Truy cập Update Profile</t>
  </si>
  <si>
    <t>Form pre-fill đúng thông tin hiện tại của user</t>
  </si>
  <si>
    <t>TS-033</t>
  </si>
  <si>
    <t>Request Loan</t>
  </si>
  <si>
    <t>Xin vay với thông tin hợp lệ, được duyệt</t>
  </si>
  <si>
    <t>Đã đăng nhập, đủ điều kiện</t>
  </si>
  <si>
    <t>Nhập loan amount, down payment, tài khoản → Apply Now</t>
  </si>
  <si>
    <t>Loan được approve, hiển thị 'Congratulations'</t>
  </si>
  <si>
    <t>TS-034</t>
  </si>
  <si>
    <t>Xin vay bị từ chối</t>
  </si>
  <si>
    <t>Đã đăng nhập, không đủ điều kiện</t>
  </si>
  <si>
    <t>Nhập loan amount quá lớn → Apply Now</t>
  </si>
  <si>
    <t>Hiển thị thông báo loan bị denied</t>
  </si>
  <si>
    <t>TS-035</t>
  </si>
  <si>
    <t>Xin vay thiếu Down Payment</t>
  </si>
  <si>
    <t>Bỏ trống Down Payment → Apply Now</t>
  </si>
  <si>
    <t>Hiển thị lỗi 'Down Payment is required'</t>
  </si>
  <si>
    <t>TS-036</t>
  </si>
  <si>
    <t>Kiểm tra GUI form Request Loan</t>
  </si>
  <si>
    <t>Truy cập Request Loan</t>
  </si>
  <si>
    <t>Form hiển thị input Loan Amount, Down Payment, Account dropdown</t>
  </si>
  <si>
    <t>TS-037</t>
  </si>
  <si>
    <t>GUI – Navigation</t>
  </si>
  <si>
    <t>Kiểm tra các link trên thanh điều hướng</t>
  </si>
  <si>
    <t>Click lần lượt các menu item</t>
  </si>
  <si>
    <t>Mỗi link điều hướng đến đúng trang tương ứng</t>
  </si>
  <si>
    <t>TS-038</t>
  </si>
  <si>
    <t>Kiểm tra trang Home load thành công</t>
  </si>
  <si>
    <t>Truy cập URL ParaBank</t>
  </si>
  <si>
    <t>Trang Home hiển thị đầy đủ, logo, form Login, menu</t>
  </si>
  <si>
    <t>TS-039</t>
  </si>
  <si>
    <t>GUI – Error Messages</t>
  </si>
  <si>
    <t>Kiểm tra thông báo lỗi hiển thị đúng</t>
  </si>
  <si>
    <t>Trigger lỗi</t>
  </si>
  <si>
    <t>Thực hiện thao tác sai để trigger lỗi</t>
  </si>
  <si>
    <t>Thông báo lỗi rõ ràng, đúng màu (đỏ/cam), đúng nội dung</t>
  </si>
  <si>
    <t>TS-040</t>
  </si>
  <si>
    <t>GUI – Responsive</t>
  </si>
  <si>
    <t>Kiểm tra element ẩn/hiện đúng theo trạng thái</t>
  </si>
  <si>
    <t>Quan sát Log Out link chỉ xuất hiện khi đăng nhập</t>
  </si>
  <si>
    <t>Log Out chỉ hiện khi đã login, ẩn khi chưa login</t>
  </si>
  <si>
    <t>TEST CASES – ParaBank (GUI + Functional)</t>
  </si>
  <si>
    <t>TC ID</t>
  </si>
  <si>
    <t>Scenario ID</t>
  </si>
  <si>
    <t>Test Case Name</t>
  </si>
  <si>
    <t>Precondition</t>
  </si>
  <si>
    <t>Steps</t>
  </si>
  <si>
    <t>Input Data</t>
  </si>
  <si>
    <t>Expected Result</t>
  </si>
  <si>
    <t>Type</t>
  </si>
  <si>
    <t>TC-GUI-001</t>
  </si>
  <si>
    <t>Login</t>
  </si>
  <si>
    <t>Kiểm tra textbox Username hiển thị và nhập được</t>
  </si>
  <si>
    <t>Mở trang đăng nhập</t>
  </si>
  <si>
    <t>1. Mở trình duyệt
2. Điều hướng đến ParaBank
3. Kiểm tra textbox Username</t>
  </si>
  <si>
    <t>N/A</t>
  </si>
  <si>
    <t>Textbox Username hiển thị, nhập được text</t>
  </si>
  <si>
    <t>TC-GUI-002</t>
  </si>
  <si>
    <t>Kiểm tra textbox Password hiển thị dạng password</t>
  </si>
  <si>
    <t>1. Mở trang login
2. Click vào ô Password
3. Nhập ký tự</t>
  </si>
  <si>
    <t>Nhập 'abc123'</t>
  </si>
  <si>
    <t>Ký tự hiển thị dạng ● (ẩn)</t>
  </si>
  <si>
    <t>TC-GUI-003</t>
  </si>
  <si>
    <t>Kiểm tra button 'Log In' click được</t>
  </si>
  <si>
    <t>1. Điền thông tin
2. Click button Log In</t>
  </si>
  <si>
    <t>username, password hợp lệ</t>
  </si>
  <si>
    <t>Button có thể click, gửi form</t>
  </si>
  <si>
    <t>TC-GUI-004</t>
  </si>
  <si>
    <t>Home</t>
  </si>
  <si>
    <t>Kiểm tra trang Home load đủ các thành phần</t>
  </si>
  <si>
    <t>1. Mở URL ParaBank
2. Quan sát toàn bộ trang</t>
  </si>
  <si>
    <t>Logo, form Login, menu điều hướng hiển thị đầy đủ</t>
  </si>
  <si>
    <t>TC-GUI-005</t>
  </si>
  <si>
    <t>Navigation</t>
  </si>
  <si>
    <t>Kiểm tra link 'About' điều hướng đúng</t>
  </si>
  <si>
    <t>1. Click link 'About'
2. Kiểm tra URL và nội dung trang</t>
  </si>
  <si>
    <t>Chuyển sang trang About đúng</t>
  </si>
  <si>
    <t>TC-GUI-006</t>
  </si>
  <si>
    <t>Kiểm tra link 'Services' điều hướng đúng</t>
  </si>
  <si>
    <t>1. Click link 'Services'</t>
  </si>
  <si>
    <t>Chuyển sang trang Services đúng</t>
  </si>
  <si>
    <t>TC-GUI-007</t>
  </si>
  <si>
    <t>Error Messages</t>
  </si>
  <si>
    <t>Kiểm tra thông báo lỗi Login sai password</t>
  </si>
  <si>
    <t>1. Nhập username đúng, password sai
2. Click Log In
3. Quan sát thông báo lỗi</t>
  </si>
  <si>
    <t>username: john, password: wrong</t>
  </si>
  <si>
    <t>Thông báo lỗi hiển thị, màu đỏ/cam, nội dung rõ ràng</t>
  </si>
  <si>
    <t>TC-GUI-008</t>
  </si>
  <si>
    <t>Registration</t>
  </si>
  <si>
    <t>Kiểm tra thông báo lỗi khi thiếu First Name</t>
  </si>
  <si>
    <t>Mở trang Register</t>
  </si>
  <si>
    <t>1. Bỏ trống First Name
2. Điền các field còn lại
3. Submit</t>
  </si>
  <si>
    <t>First Name: rỗng</t>
  </si>
  <si>
    <t>Label lỗi 'First name is required' xuất hiện ngay cạnh field</t>
  </si>
  <si>
    <t>TC-GUI-009</t>
  </si>
  <si>
    <t>Kiểm tra dropdown 'From Account' hiển thị đúng</t>
  </si>
  <si>
    <t>1. Vào Transfer Funds
2. Click dropdown From Account</t>
  </si>
  <si>
    <t>Dropdown hiển thị đúng danh sách tài khoản của user</t>
  </si>
  <si>
    <t>TC-GUI-010</t>
  </si>
  <si>
    <t>Kiểm tra input Amount chỉ nhận số</t>
  </si>
  <si>
    <t>1. Vào Transfer Funds
2. Nhập chữ cái vào ô Amount</t>
  </si>
  <si>
    <t>Nhập 'abc'</t>
  </si>
  <si>
    <t>Field không nhận hoặc báo lỗi khi nhập ký tự không phải số</t>
  </si>
  <si>
    <t>TC-GUI-011</t>
  </si>
  <si>
    <t>1. Vào Open New Account
2. Click dropdown Account Type</t>
  </si>
  <si>
    <t>Dropdown có 2 option: CHECKING và SAVINGS</t>
  </si>
  <si>
    <t>TC-GUI-012</t>
  </si>
  <si>
    <t>Kiểm tra form Bill Pay hiển thị đủ field</t>
  </si>
  <si>
    <t>1. Vào Bill Pay
2. Quan sát form</t>
  </si>
  <si>
    <t>Payee Name, Address, City, State, Zip, Phone, Account, Amount đều hiển thị</t>
  </si>
  <si>
    <t>TC-GUI-013</t>
  </si>
  <si>
    <t>Update Contact</t>
  </si>
  <si>
    <t>Kiểm tra form Update Contact pre-fill dữ liệu</t>
  </si>
  <si>
    <t>1. Vào Update Contact Info
2. Quan sát các field</t>
  </si>
  <si>
    <t>Các field được điền sẵn thông tin hiện tại của user</t>
  </si>
  <si>
    <t>TC-GUI-014</t>
  </si>
  <si>
    <t>Kiểm tra form Request Loan hiển thị đủ field</t>
  </si>
  <si>
    <t>1. Vào Request Loan
2. Quan sát form</t>
  </si>
  <si>
    <t>Loan Amount, Down Payment, From Account dropdown hiển thị</t>
  </si>
  <si>
    <t>TC-GUI-015</t>
  </si>
  <si>
    <t>Log Out link chỉ hiển thị khi đã đăng nhập</t>
  </si>
  <si>
    <t>1. Quan sát trang khi chưa login
2. Đăng nhập
3. Quan sát lại</t>
  </si>
  <si>
    <t>Log Out xuất hiện sau login, ẩn trước login</t>
  </si>
  <si>
    <t>TC-GUI-016</t>
  </si>
  <si>
    <t>Kiểm tra thông báo lỗi khi Register password không khớp</t>
  </si>
  <si>
    <t>1. Điền form Register
2. Password ≠ Confirm
3. Submit</t>
  </si>
  <si>
    <t>Password: abc123, Confirm: xyz999</t>
  </si>
  <si>
    <t>Lỗi 'Passwords did not match' hiển thị rõ</t>
  </si>
  <si>
    <t>TC-GUI-017</t>
  </si>
  <si>
    <t>Click Back browser sau Login vẫn ở trang đúng</t>
  </si>
  <si>
    <t>1. Login
2. Điều hướng vài trang
3. Click Back</t>
  </si>
  <si>
    <t>Trang trước hiển thị đúng, không redirect nhầm</t>
  </si>
  <si>
    <t>TC-GUI-018</t>
  </si>
  <si>
    <t>Kiểm tra placeholder text trong Login form</t>
  </si>
  <si>
    <t>1. Mở trang login
2. Quan sát placeholder</t>
  </si>
  <si>
    <t>Placeholder 'Username' và 'Password' hiển thị trước khi nhập</t>
  </si>
  <si>
    <t>TC-GUI-019</t>
  </si>
  <si>
    <t>Kiểm tra button 'Send Payment' click được</t>
  </si>
  <si>
    <t>1. Vào Bill Pay
2. Điền đủ form
3. Click button</t>
  </si>
  <si>
    <t>Dữ liệu hợp lệ</t>
  </si>
  <si>
    <t>Button Send Payment nhận click, xử lý form</t>
  </si>
  <si>
    <t>TC-GUI-020</t>
  </si>
  <si>
    <t>Kiểm tra trang Contact Us có form liên hệ</t>
  </si>
  <si>
    <t>1. Click Contact Us
2. Quan sát form</t>
  </si>
  <si>
    <t>Form liên hệ với Name, Email, Phone, Message hiển thị</t>
  </si>
  <si>
    <t>TC-FN-001</t>
  </si>
  <si>
    <t>Đăng ký tài khoản mới với thông tin đầy đủ hợp lệ</t>
  </si>
  <si>
    <t>Chưa có tài khoản</t>
  </si>
  <si>
    <t>1. Vào Register
2. Điền đủ thông tin
3. Submit</t>
  </si>
  <si>
    <t>firstName: John, lastName: Doe, address: 123 Main, city: Anytown, state: CA, zipCode: 12345, phone: 123-456-7890, ssn: 123-45-6789, username: john_test01, password: Test@1234</t>
  </si>
  <si>
    <t>Tài khoản tạo thành công, hiển thị 'Welcome john_test01'</t>
  </si>
  <si>
    <t>TC-FN-002</t>
  </si>
  <si>
    <t>Username john đã có</t>
  </si>
  <si>
    <t>1. Điền form Register với username = john
2. Submit</t>
  </si>
  <si>
    <t>username: john (đã tồn tại)</t>
  </si>
  <si>
    <t>Lỗi 'This username already exists'</t>
  </si>
  <si>
    <t>TC-FN-003</t>
  </si>
  <si>
    <t>Login thành công với tài khoản hợp lệ</t>
  </si>
  <si>
    <t>Có tài khoản john/Test@1234</t>
  </si>
  <si>
    <t>1. Nhập username: john
2. Nhập password: Test@1234
3. Click Log In</t>
  </si>
  <si>
    <t>username: john, password: Test@1234</t>
  </si>
  <si>
    <t>Redirect sang Account Overview, hiển thị 'Welcome john'</t>
  </si>
  <si>
    <t>TC-FN-004</t>
  </si>
  <si>
    <t>Login sai password</t>
  </si>
  <si>
    <t>Có tài khoản john</t>
  </si>
  <si>
    <t>1. Nhập username: john
2. Nhập password sai: wrong123
3. Click Log In</t>
  </si>
  <si>
    <t>username: john, password: wrong123</t>
  </si>
  <si>
    <t>Hiển thị lỗi xác thực, ở lại trang login</t>
  </si>
  <si>
    <t>TC-FN-005</t>
  </si>
  <si>
    <t>Login với username không tồn tại</t>
  </si>
  <si>
    <t>Không có tài khoản nouser</t>
  </si>
  <si>
    <t>1. Nhập username: nouser
2. Nhập password: Test@1234
3. Click Log In</t>
  </si>
  <si>
    <t>username: nouser, password: Test@1234</t>
  </si>
  <si>
    <t>Hiển thị lỗi xác thực</t>
  </si>
  <si>
    <t>TC-FN-006</t>
  </si>
  <si>
    <t>1. Click Log Out trên menu
2. Kiểm tra URL</t>
  </si>
  <si>
    <t>Redirect về Home, không còn truy cập Account Overview</t>
  </si>
  <si>
    <t>TC-FN-007</t>
  </si>
  <si>
    <t>Xem danh sách tài khoản</t>
  </si>
  <si>
    <t>1. Click Accounts Overview
2. Kiểm tra nội dung bảng</t>
  </si>
  <si>
    <t>Hiển thị bảng với Account No., Balance, Available</t>
  </si>
  <si>
    <t>TC-FN-008</t>
  </si>
  <si>
    <t>Xem chi tiết giao dịch theo tài khoản</t>
  </si>
  <si>
    <t>1. Click Accounts Overview
2. Click vào số tài khoản</t>
  </si>
  <si>
    <t>Hiển thị Activity (lịch sử giao dịch)</t>
  </si>
  <si>
    <t>TC-FN-009</t>
  </si>
  <si>
    <t>Mở tài khoản Checking mới</t>
  </si>
  <si>
    <t>1. Vào Open New Account
2. Chọn CHECKING
3. Chọn tài khoản nguồn
4. Click Open New Account</t>
  </si>
  <si>
    <t>Type: CHECKING</t>
  </si>
  <si>
    <t>Tài khoản mới được tạo, hiển thị Account Number</t>
  </si>
  <si>
    <t>TC-FN-010</t>
  </si>
  <si>
    <t>Mở tài khoản Savings mới</t>
  </si>
  <si>
    <t>1. Chọn SAVINGS
2. Chọn tài khoản nguồn
3. Click Open New Account</t>
  </si>
  <si>
    <t>Type: SAVINGS</t>
  </si>
  <si>
    <t>Tài khoản Savings được tạo, hiển thị Account Number</t>
  </si>
  <si>
    <t>TC-FN-011</t>
  </si>
  <si>
    <t>Chuyển tiền thành công</t>
  </si>
  <si>
    <t>1. Vào Transfer Funds
2. Chọn From/To khác nhau
3. Nhập Amount
4. Click Transfer</t>
  </si>
  <si>
    <t>amount: 100, from: acct1, to: acct2</t>
  </si>
  <si>
    <t>'Transfer Complete!' hiển thị, số dư cập nhật</t>
  </si>
  <si>
    <t>TC-FN-012</t>
  </si>
  <si>
    <t>Chuyển tiền vượt số dư</t>
  </si>
  <si>
    <t>Đã đăng nhập, số dư = 100</t>
  </si>
  <si>
    <t>1. Nhập Amount = 99999
2. Click Transfer</t>
  </si>
  <si>
    <t>amount: 99999</t>
  </si>
  <si>
    <t>Thông báo lỗi không đủ số dư</t>
  </si>
  <si>
    <t>TC-FN-013</t>
  </si>
  <si>
    <t>Chuyển tiền với Amount = 0</t>
  </si>
  <si>
    <t>1. Nhập Amount = 0
2. Click Transfer</t>
  </si>
  <si>
    <t>amount: 0</t>
  </si>
  <si>
    <t>Lỗi 'The amount cannot be zero'</t>
  </si>
  <si>
    <t>TC-FN-014</t>
  </si>
  <si>
    <t>Thanh toán hóa đơn thành công</t>
  </si>
  <si>
    <t>Đã đăng nhập, có tài khoản đủ số dư</t>
  </si>
  <si>
    <t>1. Điền đủ thông tin Payee
2. Nhập Amount
3. Chọn account
4. Send Payment</t>
  </si>
  <si>
    <t>payee: TestPayee, address: 1 Pay St, city: Paytown, state: CA, zipCode: 11111, phone: 555-1234, account: 12345, amount: 50</t>
  </si>
  <si>
    <t>'Bill Payment Complete!' hiển thị</t>
  </si>
  <si>
    <t>TC-FN-015</t>
  </si>
  <si>
    <t>Bill Pay thiếu Payee Name</t>
  </si>
  <si>
    <t>1. Bỏ trống Payee Name
2. Điền các field khác
3. Send Payment</t>
  </si>
  <si>
    <t>Payee Name: rỗng</t>
  </si>
  <si>
    <t>Lỗi 'Payee name is required'</t>
  </si>
  <si>
    <t>TC-FN-016</t>
  </si>
  <si>
    <t>Bill Pay với Account Number không hợp lệ</t>
  </si>
  <si>
    <t>1. Nhập Account Number sai format
2. Send Payment</t>
  </si>
  <si>
    <t>account: abc (chữ)</t>
  </si>
  <si>
    <t>Lỗi validation account number</t>
  </si>
  <si>
    <t>TC-FN-017</t>
  </si>
  <si>
    <t>Tìm giao dịch theo ngày</t>
  </si>
  <si>
    <t>1. Chọn tài khoản
2. Click 'By Date'
3. Nhập ngày
4. Find</t>
  </si>
  <si>
    <t>date: ngày hiện tại</t>
  </si>
  <si>
    <t>Danh sách giao dịch trong ngày đó hiển thị</t>
  </si>
  <si>
    <t>TC-FN-018</t>
  </si>
  <si>
    <t>Tìm giao dịch theo Amount</t>
  </si>
  <si>
    <t>Đã đăng nhập, có giao dịch $100</t>
  </si>
  <si>
    <t>1. Click 'By Amount'
2. Nhập 100
3. Find</t>
  </si>
  <si>
    <t>amount: 100</t>
  </si>
  <si>
    <t>Hiển thị giao dịch có amount = 100</t>
  </si>
  <si>
    <t>TC-FN-019</t>
  </si>
  <si>
    <t>Tìm giao dịch không có kết quả</t>
  </si>
  <si>
    <t>1. Nhập ngày không có giao dịch
2. Find</t>
  </si>
  <si>
    <t>date: 01/01/2000</t>
  </si>
  <si>
    <t>TC-FN-020</t>
  </si>
  <si>
    <t>1. Vào Update Contact Info
2. Thay đổi Street
3. Click Update Profile</t>
  </si>
  <si>
    <t>street: 999 New St</t>
  </si>
  <si>
    <t>Thông tin được lưu, hiển thị 'Profile Updated Successfully'</t>
  </si>
  <si>
    <t>TC-FN-021</t>
  </si>
  <si>
    <t>Update thiếu First Name</t>
  </si>
  <si>
    <t>1. Xóa First Name
2. Click Update Profile</t>
  </si>
  <si>
    <t>Lỗi 'First name is required'</t>
  </si>
  <si>
    <t>TC-FN-022</t>
  </si>
  <si>
    <t>Xin vay thành công, được duyệt</t>
  </si>
  <si>
    <t>1. Vào Request Loan
2. Điền Loan Amount, Down Payment
3. Chọn account
4. Apply Now</t>
  </si>
  <si>
    <t>loanAmount: 1000, downPayment: 100</t>
  </si>
  <si>
    <t>Hiển thị 'Congratulations, your loan has been approved'</t>
  </si>
  <si>
    <t>TC-FN-023</t>
  </si>
  <si>
    <t>1. Nhập Loan Amount rất lớn
2. Apply Now</t>
  </si>
  <si>
    <t>loanAmount: 9999999, downPayment: 1</t>
  </si>
  <si>
    <t>TC-FN-024</t>
  </si>
  <si>
    <t>Request Loan thiếu Down Payment</t>
  </si>
  <si>
    <t>1. Bỏ trống Down Payment
2. Apply Now</t>
  </si>
  <si>
    <t>Down Payment: rỗng</t>
  </si>
  <si>
    <t>Lỗi 'Down Payment is required'</t>
  </si>
  <si>
    <t>TC-FN-025</t>
  </si>
  <si>
    <t>Register với password không khớp</t>
  </si>
  <si>
    <t>1. Điền form Register
2. Password ≠ Confirm Password
3. Submit</t>
  </si>
  <si>
    <t>password: Test@1234, confirm: Test@9999</t>
  </si>
  <si>
    <t>Lỗi 'Passwords did not match'</t>
  </si>
  <si>
    <t>TC-FN-026</t>
  </si>
  <si>
    <t>Login bỏ trống cả hai field</t>
  </si>
  <si>
    <t>1. Click Log In khi trống cả 2 field</t>
  </si>
  <si>
    <t>Lỗi validation hiển thị</t>
  </si>
  <si>
    <t>TC-FN-027</t>
  </si>
  <si>
    <t>Chuyển tiền với From và To là cùng tài khoản</t>
  </si>
  <si>
    <t>1. Chọn cùng tài khoản cho From và To
2. Nhập Amount
3. Transfer</t>
  </si>
  <si>
    <t>from = to = cùng account</t>
  </si>
  <si>
    <t>Thông báo lỗi không cho chuyển cùng account</t>
  </si>
  <si>
    <t>TC-FN-028</t>
  </si>
  <si>
    <t>Account Overview sau Transfer Funds cập nhật đúng số dư</t>
  </si>
  <si>
    <t>1. Ghi nhận số dư ban đầu
2. Transfer 100$
3. Kiểm tra Account Overview</t>
  </si>
  <si>
    <t>Số dư account giảm/tăng đúng 100$</t>
  </si>
  <si>
    <t>TC-FN-029</t>
  </si>
  <si>
    <t>Tài khoản mới xuất hiện trong Account Overview</t>
  </si>
  <si>
    <t>1. Open New Account
2. Vào Account Overview</t>
  </si>
  <si>
    <t>Tài khoản mới xuất hiện trong danh sách</t>
  </si>
  <si>
    <t>TC-FN-030</t>
  </si>
  <si>
    <t>Kiểm tra giao dịch Bill Pay xuất hiện trong Find Transactions</t>
  </si>
  <si>
    <t>1. Thực hiện Bill Pay
2. Vào Find Transactions
3. Tìm theo ngày hôm nay</t>
  </si>
  <si>
    <t>Giao dịch bill pay xuất hiện trong kết quả tìm kiếm</t>
  </si>
  <si>
    <t>TEST RESULT REPORT – ParaBank Automation</t>
  </si>
  <si>
    <t>Người thực hiện:</t>
  </si>
  <si>
    <t>Ngày chạy test:</t>
  </si>
  <si>
    <t>[DD/MM/YYYY]</t>
  </si>
  <si>
    <t>Steps (tóm tắt)</t>
  </si>
  <si>
    <t>Actual Result</t>
  </si>
  <si>
    <t>Status</t>
  </si>
  <si>
    <t>Screenshot / Ghi chú</t>
  </si>
  <si>
    <t>Textbox Username hiển thị và nhập được</t>
  </si>
  <si>
    <t>Mở trang login</t>
  </si>
  <si>
    <t>Mở trang, kiểm tra textbox</t>
  </si>
  <si>
    <t>Textbox hiển thị, nhập được</t>
  </si>
  <si>
    <t>Textbox Password hiển thị dạng password</t>
  </si>
  <si>
    <t>Nhập ký tự vào Password</t>
  </si>
  <si>
    <t>Ký tự ẩn dạng ●</t>
  </si>
  <si>
    <t>Button Log In click được</t>
  </si>
  <si>
    <t>Click button Log In</t>
  </si>
  <si>
    <t>Button nhận click</t>
  </si>
  <si>
    <t>Trang Home load đủ thành phần</t>
  </si>
  <si>
    <t>Mở URL ParaBank</t>
  </si>
  <si>
    <t>Logo, form, menu hiển thị</t>
  </si>
  <si>
    <t>Link About điều hướng đúng</t>
  </si>
  <si>
    <t>Click About</t>
  </si>
  <si>
    <t>Chuyển đúng trang About</t>
  </si>
  <si>
    <t>Link Services điều hướng đúng</t>
  </si>
  <si>
    <t>Click Services</t>
  </si>
  <si>
    <t>Chuyển đúng trang Services</t>
  </si>
  <si>
    <t>Thông báo lỗi login sai password</t>
  </si>
  <si>
    <t>Lỗi hiển thị rõ, màu đỏ</t>
  </si>
  <si>
    <t>Lỗi thiếu First Name khi Register</t>
  </si>
  <si>
    <t>Submit thiếu First Name</t>
  </si>
  <si>
    <t>Label lỗi hiển thị cạnh field</t>
  </si>
  <si>
    <t>Dropdown From Account đúng</t>
  </si>
  <si>
    <t>Vào Transfer, click dropdown</t>
  </si>
  <si>
    <t>Danh sách tài khoản đúng</t>
  </si>
  <si>
    <t>Amount chỉ nhận số</t>
  </si>
  <si>
    <t>Nhập chữ vào Amount</t>
  </si>
  <si>
    <t>Không nhận hoặc báo lỗi</t>
  </si>
  <si>
    <t>Dropdown loại tài khoản đúng</t>
  </si>
  <si>
    <t>Click dropdown Type</t>
  </si>
  <si>
    <t>CHECKING + SAVINGS</t>
  </si>
  <si>
    <t>Form Bill Pay đủ field</t>
  </si>
  <si>
    <t>Vào Bill Pay</t>
  </si>
  <si>
    <t>8 field hiển thị đầy đủ</t>
  </si>
  <si>
    <t>Form pre-fill dữ liệu</t>
  </si>
  <si>
    <t>Vào Update Contact</t>
  </si>
  <si>
    <t>Dữ liệu hiện tại pre-fill</t>
  </si>
  <si>
    <t>Form Request Loan đủ field</t>
  </si>
  <si>
    <t>Vào Request Loan</t>
  </si>
  <si>
    <t>3 field hiển thị</t>
  </si>
  <si>
    <t>Log Out chỉ hiện khi đã đăng nhập</t>
  </si>
  <si>
    <t>Login rồi logout</t>
  </si>
  <si>
    <t>Log Out ẩn/hiện đúng</t>
  </si>
  <si>
    <t>Lỗi password không khớp khi Register</t>
  </si>
  <si>
    <t>Mở Register</t>
  </si>
  <si>
    <t>Submit password ≠ confirm</t>
  </si>
  <si>
    <t>Back browser sau login đúng trang</t>
  </si>
  <si>
    <t>Click Back browser</t>
  </si>
  <si>
    <t>Trang trước hiển thị đúng</t>
  </si>
  <si>
    <t>Placeholder text Login form</t>
  </si>
  <si>
    <t>Quan sát trước khi nhập</t>
  </si>
  <si>
    <t>Placeholder 'Username', 'Password'</t>
  </si>
  <si>
    <t>Button Send Payment click được</t>
  </si>
  <si>
    <t>Điền form, click Send Payment</t>
  </si>
  <si>
    <t>Trang Contact Us có form liên hệ</t>
  </si>
  <si>
    <t>Click Contact Us</t>
  </si>
  <si>
    <t>Form liên hệ hiển thị</t>
  </si>
  <si>
    <t>Đăng ký tài khoản hợp lệ</t>
  </si>
  <si>
    <t>Register đầy đủ thông tin</t>
  </si>
  <si>
    <t>'Welcome john_test01'</t>
  </si>
  <si>
    <t>Register với username đã tồn tại</t>
  </si>
  <si>
    <t>Username đã có</t>
  </si>
  <si>
    <t>Register trùng username</t>
  </si>
  <si>
    <t>Lỗi username đã tồn tại</t>
  </si>
  <si>
    <t>Login thành công</t>
  </si>
  <si>
    <t>Login đúng thông tin</t>
  </si>
  <si>
    <t>Redirect Account Overview</t>
  </si>
  <si>
    <t>Lỗi xác thực</t>
  </si>
  <si>
    <t>Login username không tồn tại</t>
  </si>
  <si>
    <t>Login bằng nouser</t>
  </si>
  <si>
    <t>Click Log Out</t>
  </si>
  <si>
    <t>Redirect Home</t>
  </si>
  <si>
    <t>Vào Account Overview</t>
  </si>
  <si>
    <t>Bảng tài khoản hiển thị</t>
  </si>
  <si>
    <t>Xem chi tiết giao dịch</t>
  </si>
  <si>
    <t>Click số tài khoản</t>
  </si>
  <si>
    <t>Lịch sử giao dịch hiển thị</t>
  </si>
  <si>
    <t>Mở tài khoản Checking</t>
  </si>
  <si>
    <t>Open Checking Account</t>
  </si>
  <si>
    <t>Account Number mới hiển thị</t>
  </si>
  <si>
    <t>Mở tài khoản Savings</t>
  </si>
  <si>
    <t>Open Savings Account</t>
  </si>
  <si>
    <t>Có ≥2 tài khoản</t>
  </si>
  <si>
    <t>Transfer 100$</t>
  </si>
  <si>
    <t>'Transfer Complete!'</t>
  </si>
  <si>
    <t>Số dư = 100</t>
  </si>
  <si>
    <t>Transfer 99999$</t>
  </si>
  <si>
    <t>Lỗi không đủ số dư</t>
  </si>
  <si>
    <t>Chuyển tiền Amount = 0</t>
  </si>
  <si>
    <t>Transfer 0$</t>
  </si>
  <si>
    <t>Lỗi amount bằng 0</t>
  </si>
  <si>
    <t>Bill Pay thành công</t>
  </si>
  <si>
    <t>Có tài khoản đủ số dư</t>
  </si>
  <si>
    <t>Pay đầy đủ thông tin</t>
  </si>
  <si>
    <t>'Bill Payment Complete!'</t>
  </si>
  <si>
    <t>Submit thiếu Payee Name</t>
  </si>
  <si>
    <t>Bill Pay Account Number sai</t>
  </si>
  <si>
    <t>Nhập account sai format</t>
  </si>
  <si>
    <t>Lỗi validation account</t>
  </si>
  <si>
    <t>Có giao dịch</t>
  </si>
  <si>
    <t>Find by Date</t>
  </si>
  <si>
    <t>Giao dịch hiển thị</t>
  </si>
  <si>
    <t>Có giao dịch $100</t>
  </si>
  <si>
    <t>Find by Amount = 100</t>
  </si>
  <si>
    <t>Giao dịch khớp hiển thị</t>
  </si>
  <si>
    <t>Tìm không có kết quả</t>
  </si>
  <si>
    <t>Find ngày 01/01/2000</t>
  </si>
  <si>
    <t>Thông báo không tìm thấy</t>
  </si>
  <si>
    <t>Cập nhật thông tin hợp lệ</t>
  </si>
  <si>
    <t>Update Profile</t>
  </si>
  <si>
    <t>'Profile Updated Successfully'</t>
  </si>
  <si>
    <t>Xin vay thành công, approved</t>
  </si>
  <si>
    <t>Đủ điều kiện</t>
  </si>
  <si>
    <t>Apply Loan 1000$</t>
  </si>
  <si>
    <t>'Loan Approved'</t>
  </si>
  <si>
    <t>Xin vay bị denied</t>
  </si>
  <si>
    <t>Apply Loan 9999999$</t>
  </si>
  <si>
    <t>Loan denied</t>
  </si>
  <si>
    <t>Submit thiếu Down Payment</t>
  </si>
  <si>
    <t>Register password không khớp</t>
  </si>
  <si>
    <t>Login bỏ trống cả 2 field</t>
  </si>
  <si>
    <t>Click Login khi trống</t>
  </si>
  <si>
    <t>Lỗi validation</t>
  </si>
  <si>
    <t>Chuyển cùng tài khoản</t>
  </si>
  <si>
    <t>From = To, Transfer</t>
  </si>
  <si>
    <t>Thông báo lỗi</t>
  </si>
  <si>
    <t>Số dư cập nhật sau Transfer</t>
  </si>
  <si>
    <t>Đã đăng nhập, có số dư</t>
  </si>
  <si>
    <t>Transfer 100$, kiểm tra Overview</t>
  </si>
  <si>
    <t>Số dư thay đổi đúng 100$</t>
  </si>
  <si>
    <t>Tài khoản mới trong Overview</t>
  </si>
  <si>
    <t>Open Account, vào Overview</t>
  </si>
  <si>
    <t>Tài khoản mới xuất hiện</t>
  </si>
  <si>
    <t>Giao dịch Bill Pay trong Find Transactions</t>
  </si>
  <si>
    <t>Đã Pay</t>
  </si>
  <si>
    <t>Find Transactions hôm nay</t>
  </si>
  <si>
    <t>Giao dịch Pay xuất hiện</t>
  </si>
  <si>
    <t>TỔNG KẾT KẾT QUẢ</t>
  </si>
  <si>
    <t>Tổng số Test Cases:</t>
  </si>
  <si>
    <t>Số TC PASS:</t>
  </si>
  <si>
    <t>Số TC FAIL:</t>
  </si>
  <si>
    <t>Số TC Chưa chạy:</t>
  </si>
  <si>
    <t>Tỉ lệ PASS (%):</t>
  </si>
  <si>
    <t>Nhóm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</si>
</sst>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rial"/>
      <family val="2"/>
      <scheme val="minor"/>
    </font>
    <font>
      <b/>
      <sz val="13"/>
      <color rgb="FFFFFFFF"/>
      <name val="Arial"/>
      <family val="2"/>
      <charset val="163"/>
    </font>
    <font>
      <b/>
      <sz val="10"/>
      <color rgb="FFFFFFFF"/>
      <name val="Arial"/>
      <family val="2"/>
      <charset val="163"/>
    </font>
    <font>
      <sz val="10"/>
      <color rgb="FF000000"/>
      <name val="Arial"/>
      <family val="2"/>
      <charset val="163"/>
    </font>
    <font>
      <b/>
      <sz val="10"/>
      <color rgb="FF000000"/>
      <name val="Arial"/>
      <family val="2"/>
      <charset val="163"/>
    </font>
    <font>
      <b/>
      <sz val="12"/>
      <color rgb="FFFFFFFF"/>
      <name val="Arial"/>
      <family val="2"/>
      <charset val="163"/>
    </font>
    <font>
      <b/>
      <sz val="10"/>
      <color rgb="FF1F5C99"/>
      <name val="Arial"/>
      <family val="2"/>
      <charset val="163"/>
    </font>
  </fonts>
  <fills count="6">
    <fill>
      <patternFill patternType="none"/>
    </fill>
    <fill>
      <patternFill patternType="gray125"/>
    </fill>
    <fill>
      <patternFill patternType="solid">
        <fgColor rgb="FF1F5C99"/>
      </patternFill>
    </fill>
    <fill>
      <patternFill patternType="solid">
        <fgColor rgb="FFEBF3FA"/>
      </patternFill>
    </fill>
    <fill>
      <patternFill patternType="solid">
        <fgColor rgb="FFFFFFFF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3" fillId="4" borderId="0" xfId="0" applyFont="1" applyFill="1" applyAlignment="1">
      <alignment horizontal="left" vertical="center" wrapText="1"/>
    </xf>
    <xf numFmtId="0" fontId="4" fillId="5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left" vertical="center" wrapText="1"/>
    </xf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2"/>
  <sheetViews>
    <sheetView tabSelected="1" zoomScale="70" zoomScaleNormal="70" workbookViewId="0">
      <pane ySplit="2" topLeftCell="A3" activePane="bottomLeft" state="frozen"/>
      <selection pane="bottomLeft" activeCell="K8" sqref="K8"/>
    </sheetView>
  </sheetViews>
  <sheetFormatPr defaultRowHeight="13.8" x14ac:dyDescent="0.25"/>
  <cols>
    <col min="1" max="1" width="8" customWidth="1"/>
    <col min="2" max="2" width="22" customWidth="1"/>
    <col min="3" max="3" width="45" customWidth="1"/>
    <col min="4" max="4" width="30" customWidth="1"/>
    <col min="5" max="5" width="42" customWidth="1"/>
    <col min="6" max="6" width="38" customWidth="1"/>
    <col min="7" max="7" width="16" customWidth="1"/>
  </cols>
  <sheetData>
    <row r="1" spans="1:7" ht="22.05" customHeight="1" x14ac:dyDescent="0.25">
      <c r="A1" s="8" t="s">
        <v>0</v>
      </c>
      <c r="B1" s="9"/>
      <c r="C1" s="9"/>
      <c r="D1" s="9"/>
      <c r="E1" s="9"/>
      <c r="F1" s="9"/>
      <c r="G1" s="9"/>
    </row>
    <row r="2" spans="1:7" ht="36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40.049999999999997" customHeight="1" x14ac:dyDescent="0.25">
      <c r="A3" s="2" t="s">
        <v>8</v>
      </c>
      <c r="B3" s="2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14</v>
      </c>
    </row>
    <row r="4" spans="1:7" ht="40.049999999999997" customHeight="1" x14ac:dyDescent="0.25">
      <c r="A4" s="4" t="s">
        <v>15</v>
      </c>
      <c r="B4" s="4" t="s">
        <v>9</v>
      </c>
      <c r="C4" s="5" t="s">
        <v>16</v>
      </c>
      <c r="D4" s="5" t="s">
        <v>11</v>
      </c>
      <c r="E4" s="5" t="s">
        <v>17</v>
      </c>
      <c r="F4" s="5" t="s">
        <v>18</v>
      </c>
      <c r="G4" s="5" t="s">
        <v>19</v>
      </c>
    </row>
    <row r="5" spans="1:7" ht="40.049999999999997" customHeight="1" x14ac:dyDescent="0.25">
      <c r="A5" s="2" t="s">
        <v>20</v>
      </c>
      <c r="B5" s="2" t="s">
        <v>9</v>
      </c>
      <c r="C5" s="3" t="s">
        <v>21</v>
      </c>
      <c r="D5" s="3" t="s">
        <v>11</v>
      </c>
      <c r="E5" s="3" t="s">
        <v>22</v>
      </c>
      <c r="F5" s="3" t="s">
        <v>23</v>
      </c>
      <c r="G5" s="3" t="s">
        <v>19</v>
      </c>
    </row>
    <row r="6" spans="1:7" ht="40.049999999999997" customHeight="1" x14ac:dyDescent="0.25">
      <c r="A6" s="4" t="s">
        <v>24</v>
      </c>
      <c r="B6" s="4" t="s">
        <v>9</v>
      </c>
      <c r="C6" s="5" t="s">
        <v>25</v>
      </c>
      <c r="D6" s="5" t="s">
        <v>11</v>
      </c>
      <c r="E6" s="5" t="s">
        <v>26</v>
      </c>
      <c r="F6" s="5" t="s">
        <v>27</v>
      </c>
      <c r="G6" s="5" t="s">
        <v>19</v>
      </c>
    </row>
    <row r="7" spans="1:7" ht="40.049999999999997" customHeight="1" x14ac:dyDescent="0.25">
      <c r="A7" s="2" t="s">
        <v>28</v>
      </c>
      <c r="B7" s="2" t="s">
        <v>9</v>
      </c>
      <c r="C7" s="3" t="s">
        <v>29</v>
      </c>
      <c r="D7" s="3" t="s">
        <v>30</v>
      </c>
      <c r="E7" s="3" t="s">
        <v>31</v>
      </c>
      <c r="F7" s="3" t="s">
        <v>32</v>
      </c>
      <c r="G7" s="3" t="s">
        <v>14</v>
      </c>
    </row>
    <row r="8" spans="1:7" ht="40.049999999999997" customHeight="1" x14ac:dyDescent="0.25">
      <c r="A8" s="4" t="s">
        <v>33</v>
      </c>
      <c r="B8" s="4" t="s">
        <v>9</v>
      </c>
      <c r="C8" s="5" t="s">
        <v>34</v>
      </c>
      <c r="D8" s="5" t="s">
        <v>11</v>
      </c>
      <c r="E8" s="5" t="s">
        <v>35</v>
      </c>
      <c r="F8" s="5" t="s">
        <v>36</v>
      </c>
      <c r="G8" s="5" t="s">
        <v>19</v>
      </c>
    </row>
    <row r="9" spans="1:7" ht="40.049999999999997" customHeight="1" x14ac:dyDescent="0.25">
      <c r="A9" s="2" t="s">
        <v>37</v>
      </c>
      <c r="B9" s="2" t="s">
        <v>9</v>
      </c>
      <c r="C9" s="3" t="s">
        <v>38</v>
      </c>
      <c r="D9" s="3" t="s">
        <v>11</v>
      </c>
      <c r="E9" s="3" t="s">
        <v>39</v>
      </c>
      <c r="F9" s="3" t="s">
        <v>40</v>
      </c>
      <c r="G9" s="3" t="s">
        <v>19</v>
      </c>
    </row>
    <row r="10" spans="1:7" ht="40.049999999999997" customHeight="1" x14ac:dyDescent="0.25">
      <c r="A10" s="4" t="s">
        <v>41</v>
      </c>
      <c r="B10" s="4" t="s">
        <v>42</v>
      </c>
      <c r="C10" s="5" t="s">
        <v>43</v>
      </c>
      <c r="D10" s="5" t="s">
        <v>44</v>
      </c>
      <c r="E10" s="5" t="s">
        <v>45</v>
      </c>
      <c r="F10" s="5" t="s">
        <v>46</v>
      </c>
      <c r="G10" s="5" t="s">
        <v>47</v>
      </c>
    </row>
    <row r="11" spans="1:7" ht="40.049999999999997" customHeight="1" x14ac:dyDescent="0.25">
      <c r="A11" s="2" t="s">
        <v>48</v>
      </c>
      <c r="B11" s="2" t="s">
        <v>42</v>
      </c>
      <c r="C11" s="3" t="s">
        <v>49</v>
      </c>
      <c r="D11" s="3" t="s">
        <v>50</v>
      </c>
      <c r="E11" s="3" t="s">
        <v>51</v>
      </c>
      <c r="F11" s="3" t="s">
        <v>52</v>
      </c>
      <c r="G11" s="3" t="s">
        <v>14</v>
      </c>
    </row>
    <row r="12" spans="1:7" ht="40.049999999999997" customHeight="1" x14ac:dyDescent="0.25">
      <c r="A12" s="4" t="s">
        <v>53</v>
      </c>
      <c r="B12" s="4" t="s">
        <v>42</v>
      </c>
      <c r="C12" s="5" t="s">
        <v>54</v>
      </c>
      <c r="D12" s="5" t="s">
        <v>50</v>
      </c>
      <c r="E12" s="5" t="s">
        <v>55</v>
      </c>
      <c r="F12" s="5" t="s">
        <v>56</v>
      </c>
      <c r="G12" s="5" t="s">
        <v>14</v>
      </c>
    </row>
    <row r="13" spans="1:7" ht="40.049999999999997" customHeight="1" x14ac:dyDescent="0.25">
      <c r="A13" s="2" t="s">
        <v>57</v>
      </c>
      <c r="B13" s="2" t="s">
        <v>42</v>
      </c>
      <c r="C13" s="3" t="s">
        <v>58</v>
      </c>
      <c r="D13" s="3" t="s">
        <v>11</v>
      </c>
      <c r="E13" s="3" t="s">
        <v>59</v>
      </c>
      <c r="F13" s="3" t="s">
        <v>60</v>
      </c>
      <c r="G13" s="3" t="s">
        <v>19</v>
      </c>
    </row>
    <row r="14" spans="1:7" ht="40.049999999999997" customHeight="1" x14ac:dyDescent="0.25">
      <c r="A14" s="4" t="s">
        <v>61</v>
      </c>
      <c r="B14" s="4" t="s">
        <v>42</v>
      </c>
      <c r="C14" s="5" t="s">
        <v>62</v>
      </c>
      <c r="D14" s="5" t="s">
        <v>63</v>
      </c>
      <c r="E14" s="5" t="s">
        <v>64</v>
      </c>
      <c r="F14" s="5" t="s">
        <v>65</v>
      </c>
      <c r="G14" s="5" t="s">
        <v>47</v>
      </c>
    </row>
    <row r="15" spans="1:7" ht="40.049999999999997" customHeight="1" x14ac:dyDescent="0.25">
      <c r="A15" s="2" t="s">
        <v>66</v>
      </c>
      <c r="B15" s="2" t="s">
        <v>42</v>
      </c>
      <c r="C15" s="3" t="s">
        <v>67</v>
      </c>
      <c r="D15" s="3" t="s">
        <v>11</v>
      </c>
      <c r="E15" s="3" t="s">
        <v>68</v>
      </c>
      <c r="F15" s="3" t="s">
        <v>69</v>
      </c>
      <c r="G15" s="3" t="s">
        <v>70</v>
      </c>
    </row>
    <row r="16" spans="1:7" ht="40.049999999999997" customHeight="1" x14ac:dyDescent="0.25">
      <c r="A16" s="4" t="s">
        <v>71</v>
      </c>
      <c r="B16" s="4" t="s">
        <v>72</v>
      </c>
      <c r="C16" s="5" t="s">
        <v>73</v>
      </c>
      <c r="D16" s="5" t="s">
        <v>63</v>
      </c>
      <c r="E16" s="5" t="s">
        <v>74</v>
      </c>
      <c r="F16" s="5" t="s">
        <v>75</v>
      </c>
      <c r="G16" s="5" t="s">
        <v>14</v>
      </c>
    </row>
    <row r="17" spans="1:7" ht="40.049999999999997" customHeight="1" x14ac:dyDescent="0.25">
      <c r="A17" s="2" t="s">
        <v>76</v>
      </c>
      <c r="B17" s="2" t="s">
        <v>72</v>
      </c>
      <c r="C17" s="3" t="s">
        <v>77</v>
      </c>
      <c r="D17" s="3" t="s">
        <v>78</v>
      </c>
      <c r="E17" s="3" t="s">
        <v>79</v>
      </c>
      <c r="F17" s="3" t="s">
        <v>80</v>
      </c>
      <c r="G17" s="3" t="s">
        <v>14</v>
      </c>
    </row>
    <row r="18" spans="1:7" ht="40.049999999999997" customHeight="1" x14ac:dyDescent="0.25">
      <c r="A18" s="4" t="s">
        <v>81</v>
      </c>
      <c r="B18" s="4" t="s">
        <v>82</v>
      </c>
      <c r="C18" s="5" t="s">
        <v>83</v>
      </c>
      <c r="D18" s="5" t="s">
        <v>84</v>
      </c>
      <c r="E18" s="5" t="s">
        <v>85</v>
      </c>
      <c r="F18" s="5" t="s">
        <v>86</v>
      </c>
      <c r="G18" s="5" t="s">
        <v>14</v>
      </c>
    </row>
    <row r="19" spans="1:7" ht="40.049999999999997" customHeight="1" x14ac:dyDescent="0.25">
      <c r="A19" s="2" t="s">
        <v>87</v>
      </c>
      <c r="B19" s="2" t="s">
        <v>82</v>
      </c>
      <c r="C19" s="3" t="s">
        <v>88</v>
      </c>
      <c r="D19" s="3" t="s">
        <v>84</v>
      </c>
      <c r="E19" s="3" t="s">
        <v>89</v>
      </c>
      <c r="F19" s="3" t="s">
        <v>90</v>
      </c>
      <c r="G19" s="3" t="s">
        <v>14</v>
      </c>
    </row>
    <row r="20" spans="1:7" ht="40.049999999999997" customHeight="1" x14ac:dyDescent="0.25">
      <c r="A20" s="4" t="s">
        <v>91</v>
      </c>
      <c r="B20" s="4" t="s">
        <v>82</v>
      </c>
      <c r="C20" s="5" t="s">
        <v>92</v>
      </c>
      <c r="D20" s="5" t="s">
        <v>63</v>
      </c>
      <c r="E20" s="5" t="s">
        <v>93</v>
      </c>
      <c r="F20" s="5" t="s">
        <v>94</v>
      </c>
      <c r="G20" s="5" t="s">
        <v>70</v>
      </c>
    </row>
    <row r="21" spans="1:7" ht="40.049999999999997" customHeight="1" x14ac:dyDescent="0.25">
      <c r="A21" s="2" t="s">
        <v>95</v>
      </c>
      <c r="B21" s="2" t="s">
        <v>96</v>
      </c>
      <c r="C21" s="3" t="s">
        <v>97</v>
      </c>
      <c r="D21" s="3" t="s">
        <v>98</v>
      </c>
      <c r="E21" s="3" t="s">
        <v>99</v>
      </c>
      <c r="F21" s="3" t="s">
        <v>100</v>
      </c>
      <c r="G21" s="3" t="s">
        <v>47</v>
      </c>
    </row>
    <row r="22" spans="1:7" ht="40.049999999999997" customHeight="1" x14ac:dyDescent="0.25">
      <c r="A22" s="4" t="s">
        <v>101</v>
      </c>
      <c r="B22" s="4" t="s">
        <v>96</v>
      </c>
      <c r="C22" s="5" t="s">
        <v>102</v>
      </c>
      <c r="D22" s="5" t="s">
        <v>103</v>
      </c>
      <c r="E22" s="5" t="s">
        <v>104</v>
      </c>
      <c r="F22" s="5" t="s">
        <v>105</v>
      </c>
      <c r="G22" s="5" t="s">
        <v>14</v>
      </c>
    </row>
    <row r="23" spans="1:7" ht="40.049999999999997" customHeight="1" x14ac:dyDescent="0.25">
      <c r="A23" s="2" t="s">
        <v>106</v>
      </c>
      <c r="B23" s="2" t="s">
        <v>96</v>
      </c>
      <c r="C23" s="3" t="s">
        <v>107</v>
      </c>
      <c r="D23" s="3" t="s">
        <v>63</v>
      </c>
      <c r="E23" s="3" t="s">
        <v>108</v>
      </c>
      <c r="F23" s="3" t="s">
        <v>109</v>
      </c>
      <c r="G23" s="3" t="s">
        <v>14</v>
      </c>
    </row>
    <row r="24" spans="1:7" ht="40.049999999999997" customHeight="1" x14ac:dyDescent="0.25">
      <c r="A24" s="4" t="s">
        <v>110</v>
      </c>
      <c r="B24" s="4" t="s">
        <v>96</v>
      </c>
      <c r="C24" s="5" t="s">
        <v>111</v>
      </c>
      <c r="D24" s="5" t="s">
        <v>63</v>
      </c>
      <c r="E24" s="5" t="s">
        <v>112</v>
      </c>
      <c r="F24" s="5" t="s">
        <v>113</v>
      </c>
      <c r="G24" s="5" t="s">
        <v>70</v>
      </c>
    </row>
    <row r="25" spans="1:7" ht="40.049999999999997" customHeight="1" x14ac:dyDescent="0.25">
      <c r="A25" s="2" t="s">
        <v>114</v>
      </c>
      <c r="B25" s="2" t="s">
        <v>115</v>
      </c>
      <c r="C25" s="3" t="s">
        <v>116</v>
      </c>
      <c r="D25" s="3" t="s">
        <v>78</v>
      </c>
      <c r="E25" s="3" t="s">
        <v>117</v>
      </c>
      <c r="F25" s="3" t="s">
        <v>118</v>
      </c>
      <c r="G25" s="3" t="s">
        <v>14</v>
      </c>
    </row>
    <row r="26" spans="1:7" ht="40.049999999999997" customHeight="1" x14ac:dyDescent="0.25">
      <c r="A26" s="4" t="s">
        <v>119</v>
      </c>
      <c r="B26" s="4" t="s">
        <v>115</v>
      </c>
      <c r="C26" s="5" t="s">
        <v>120</v>
      </c>
      <c r="D26" s="5" t="s">
        <v>63</v>
      </c>
      <c r="E26" s="5" t="s">
        <v>121</v>
      </c>
      <c r="F26" s="5" t="s">
        <v>122</v>
      </c>
      <c r="G26" s="5" t="s">
        <v>19</v>
      </c>
    </row>
    <row r="27" spans="1:7" ht="40.049999999999997" customHeight="1" x14ac:dyDescent="0.25">
      <c r="A27" s="2" t="s">
        <v>123</v>
      </c>
      <c r="B27" s="2" t="s">
        <v>115</v>
      </c>
      <c r="C27" s="3" t="s">
        <v>124</v>
      </c>
      <c r="D27" s="3" t="s">
        <v>63</v>
      </c>
      <c r="E27" s="3" t="s">
        <v>125</v>
      </c>
      <c r="F27" s="3" t="s">
        <v>126</v>
      </c>
      <c r="G27" s="3" t="s">
        <v>14</v>
      </c>
    </row>
    <row r="28" spans="1:7" ht="40.049999999999997" customHeight="1" x14ac:dyDescent="0.25">
      <c r="A28" s="4" t="s">
        <v>127</v>
      </c>
      <c r="B28" s="4" t="s">
        <v>115</v>
      </c>
      <c r="C28" s="5" t="s">
        <v>128</v>
      </c>
      <c r="D28" s="5" t="s">
        <v>63</v>
      </c>
      <c r="E28" s="5" t="s">
        <v>129</v>
      </c>
      <c r="F28" s="5" t="s">
        <v>130</v>
      </c>
      <c r="G28" s="5" t="s">
        <v>70</v>
      </c>
    </row>
    <row r="29" spans="1:7" ht="40.049999999999997" customHeight="1" x14ac:dyDescent="0.25">
      <c r="A29" s="2" t="s">
        <v>131</v>
      </c>
      <c r="B29" s="2" t="s">
        <v>132</v>
      </c>
      <c r="C29" s="3" t="s">
        <v>133</v>
      </c>
      <c r="D29" s="3" t="s">
        <v>134</v>
      </c>
      <c r="E29" s="3" t="s">
        <v>135</v>
      </c>
      <c r="F29" s="3" t="s">
        <v>136</v>
      </c>
      <c r="G29" s="3" t="s">
        <v>14</v>
      </c>
    </row>
    <row r="30" spans="1:7" ht="40.049999999999997" customHeight="1" x14ac:dyDescent="0.25">
      <c r="A30" s="4" t="s">
        <v>137</v>
      </c>
      <c r="B30" s="4" t="s">
        <v>132</v>
      </c>
      <c r="C30" s="5" t="s">
        <v>138</v>
      </c>
      <c r="D30" s="5" t="s">
        <v>134</v>
      </c>
      <c r="E30" s="5" t="s">
        <v>139</v>
      </c>
      <c r="F30" s="5" t="s">
        <v>140</v>
      </c>
      <c r="G30" s="5" t="s">
        <v>14</v>
      </c>
    </row>
    <row r="31" spans="1:7" ht="40.049999999999997" customHeight="1" x14ac:dyDescent="0.25">
      <c r="A31" s="2" t="s">
        <v>141</v>
      </c>
      <c r="B31" s="2" t="s">
        <v>132</v>
      </c>
      <c r="C31" s="3" t="s">
        <v>142</v>
      </c>
      <c r="D31" s="3" t="s">
        <v>63</v>
      </c>
      <c r="E31" s="3" t="s">
        <v>143</v>
      </c>
      <c r="F31" s="3" t="s">
        <v>144</v>
      </c>
      <c r="G31" s="3" t="s">
        <v>14</v>
      </c>
    </row>
    <row r="32" spans="1:7" ht="40.049999999999997" customHeight="1" x14ac:dyDescent="0.25">
      <c r="A32" s="4" t="s">
        <v>145</v>
      </c>
      <c r="B32" s="4" t="s">
        <v>146</v>
      </c>
      <c r="C32" s="5" t="s">
        <v>147</v>
      </c>
      <c r="D32" s="5" t="s">
        <v>63</v>
      </c>
      <c r="E32" s="5" t="s">
        <v>148</v>
      </c>
      <c r="F32" s="5" t="s">
        <v>149</v>
      </c>
      <c r="G32" s="5" t="s">
        <v>14</v>
      </c>
    </row>
    <row r="33" spans="1:7" ht="40.049999999999997" customHeight="1" x14ac:dyDescent="0.25">
      <c r="A33" s="2" t="s">
        <v>150</v>
      </c>
      <c r="B33" s="2" t="s">
        <v>146</v>
      </c>
      <c r="C33" s="3" t="s">
        <v>151</v>
      </c>
      <c r="D33" s="3" t="s">
        <v>63</v>
      </c>
      <c r="E33" s="3" t="s">
        <v>152</v>
      </c>
      <c r="F33" s="3" t="s">
        <v>153</v>
      </c>
      <c r="G33" s="3" t="s">
        <v>19</v>
      </c>
    </row>
    <row r="34" spans="1:7" ht="40.049999999999997" customHeight="1" x14ac:dyDescent="0.25">
      <c r="A34" s="4" t="s">
        <v>154</v>
      </c>
      <c r="B34" s="4" t="s">
        <v>146</v>
      </c>
      <c r="C34" s="5" t="s">
        <v>155</v>
      </c>
      <c r="D34" s="5" t="s">
        <v>63</v>
      </c>
      <c r="E34" s="5" t="s">
        <v>156</v>
      </c>
      <c r="F34" s="5" t="s">
        <v>157</v>
      </c>
      <c r="G34" s="5" t="s">
        <v>70</v>
      </c>
    </row>
    <row r="35" spans="1:7" ht="40.049999999999997" customHeight="1" x14ac:dyDescent="0.25">
      <c r="A35" s="2" t="s">
        <v>158</v>
      </c>
      <c r="B35" s="2" t="s">
        <v>159</v>
      </c>
      <c r="C35" s="3" t="s">
        <v>160</v>
      </c>
      <c r="D35" s="3" t="s">
        <v>161</v>
      </c>
      <c r="E35" s="3" t="s">
        <v>162</v>
      </c>
      <c r="F35" s="3" t="s">
        <v>163</v>
      </c>
      <c r="G35" s="3" t="s">
        <v>14</v>
      </c>
    </row>
    <row r="36" spans="1:7" ht="40.049999999999997" customHeight="1" x14ac:dyDescent="0.25">
      <c r="A36" s="4" t="s">
        <v>164</v>
      </c>
      <c r="B36" s="4" t="s">
        <v>159</v>
      </c>
      <c r="C36" s="5" t="s">
        <v>165</v>
      </c>
      <c r="D36" s="5" t="s">
        <v>166</v>
      </c>
      <c r="E36" s="5" t="s">
        <v>167</v>
      </c>
      <c r="F36" s="5" t="s">
        <v>168</v>
      </c>
      <c r="G36" s="5" t="s">
        <v>14</v>
      </c>
    </row>
    <row r="37" spans="1:7" ht="40.049999999999997" customHeight="1" x14ac:dyDescent="0.25">
      <c r="A37" s="2" t="s">
        <v>169</v>
      </c>
      <c r="B37" s="2" t="s">
        <v>159</v>
      </c>
      <c r="C37" s="3" t="s">
        <v>170</v>
      </c>
      <c r="D37" s="3" t="s">
        <v>63</v>
      </c>
      <c r="E37" s="3" t="s">
        <v>171</v>
      </c>
      <c r="F37" s="3" t="s">
        <v>172</v>
      </c>
      <c r="G37" s="3" t="s">
        <v>19</v>
      </c>
    </row>
    <row r="38" spans="1:7" ht="40.049999999999997" customHeight="1" x14ac:dyDescent="0.25">
      <c r="A38" s="4" t="s">
        <v>173</v>
      </c>
      <c r="B38" s="4" t="s">
        <v>159</v>
      </c>
      <c r="C38" s="5" t="s">
        <v>174</v>
      </c>
      <c r="D38" s="5" t="s">
        <v>63</v>
      </c>
      <c r="E38" s="5" t="s">
        <v>175</v>
      </c>
      <c r="F38" s="5" t="s">
        <v>176</v>
      </c>
      <c r="G38" s="5" t="s">
        <v>70</v>
      </c>
    </row>
    <row r="39" spans="1:7" ht="40.049999999999997" customHeight="1" x14ac:dyDescent="0.25">
      <c r="A39" s="2" t="s">
        <v>177</v>
      </c>
      <c r="B39" s="2" t="s">
        <v>178</v>
      </c>
      <c r="C39" s="3" t="s">
        <v>179</v>
      </c>
      <c r="D39" s="3" t="s">
        <v>63</v>
      </c>
      <c r="E39" s="3" t="s">
        <v>180</v>
      </c>
      <c r="F39" s="3" t="s">
        <v>181</v>
      </c>
      <c r="G39" s="3" t="s">
        <v>70</v>
      </c>
    </row>
    <row r="40" spans="1:7" ht="40.049999999999997" customHeight="1" x14ac:dyDescent="0.25">
      <c r="A40" s="4" t="s">
        <v>182</v>
      </c>
      <c r="B40" s="4" t="s">
        <v>178</v>
      </c>
      <c r="C40" s="5" t="s">
        <v>183</v>
      </c>
      <c r="D40" s="5" t="s">
        <v>11</v>
      </c>
      <c r="E40" s="5" t="s">
        <v>184</v>
      </c>
      <c r="F40" s="5" t="s">
        <v>185</v>
      </c>
      <c r="G40" s="5" t="s">
        <v>70</v>
      </c>
    </row>
    <row r="41" spans="1:7" ht="40.049999999999997" customHeight="1" x14ac:dyDescent="0.25">
      <c r="A41" s="2" t="s">
        <v>186</v>
      </c>
      <c r="B41" s="2" t="s">
        <v>187</v>
      </c>
      <c r="C41" s="3" t="s">
        <v>188</v>
      </c>
      <c r="D41" s="3" t="s">
        <v>189</v>
      </c>
      <c r="E41" s="3" t="s">
        <v>190</v>
      </c>
      <c r="F41" s="3" t="s">
        <v>191</v>
      </c>
      <c r="G41" s="3" t="s">
        <v>70</v>
      </c>
    </row>
    <row r="42" spans="1:7" ht="40.049999999999997" customHeight="1" x14ac:dyDescent="0.25">
      <c r="A42" s="4" t="s">
        <v>192</v>
      </c>
      <c r="B42" s="4" t="s">
        <v>193</v>
      </c>
      <c r="C42" s="5" t="s">
        <v>194</v>
      </c>
      <c r="D42" s="5" t="s">
        <v>63</v>
      </c>
      <c r="E42" s="5" t="s">
        <v>195</v>
      </c>
      <c r="F42" s="5" t="s">
        <v>196</v>
      </c>
      <c r="G42" s="5" t="s">
        <v>70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2"/>
  <sheetViews>
    <sheetView zoomScale="70" zoomScaleNormal="70" workbookViewId="0">
      <pane ySplit="2" topLeftCell="A3" activePane="bottomLeft" state="frozen"/>
      <selection pane="bottomLeft" activeCell="F23" sqref="F23"/>
    </sheetView>
  </sheetViews>
  <sheetFormatPr defaultRowHeight="13.8" x14ac:dyDescent="0.25"/>
  <cols>
    <col min="1" max="1" width="9" customWidth="1"/>
    <col min="2" max="2" width="12" customWidth="1"/>
    <col min="3" max="3" width="20" customWidth="1"/>
    <col min="4" max="4" width="42" customWidth="1"/>
    <col min="5" max="5" width="28" customWidth="1"/>
    <col min="6" max="6" width="48" customWidth="1"/>
    <col min="7" max="7" width="32" customWidth="1"/>
    <col min="8" max="8" width="42" customWidth="1"/>
    <col min="9" max="9" width="16" customWidth="1"/>
  </cols>
  <sheetData>
    <row r="1" spans="1:9" ht="22.05" customHeight="1" x14ac:dyDescent="0.25">
      <c r="A1" s="8" t="s">
        <v>197</v>
      </c>
      <c r="B1" s="9"/>
      <c r="C1" s="9"/>
      <c r="D1" s="9"/>
      <c r="E1" s="9"/>
      <c r="F1" s="9"/>
      <c r="G1" s="9"/>
      <c r="H1" s="9"/>
      <c r="I1" s="9"/>
    </row>
    <row r="2" spans="1:9" ht="36" customHeight="1" x14ac:dyDescent="0.25">
      <c r="A2" s="1" t="s">
        <v>198</v>
      </c>
      <c r="B2" s="1" t="s">
        <v>199</v>
      </c>
      <c r="C2" s="1" t="s">
        <v>2</v>
      </c>
      <c r="D2" s="1" t="s">
        <v>200</v>
      </c>
      <c r="E2" s="1" t="s">
        <v>201</v>
      </c>
      <c r="F2" s="1" t="s">
        <v>202</v>
      </c>
      <c r="G2" s="1" t="s">
        <v>203</v>
      </c>
      <c r="H2" s="1" t="s">
        <v>204</v>
      </c>
      <c r="I2" s="1" t="s">
        <v>205</v>
      </c>
    </row>
    <row r="3" spans="1:9" ht="55.05" customHeight="1" x14ac:dyDescent="0.25">
      <c r="A3" s="2" t="s">
        <v>206</v>
      </c>
      <c r="B3" s="2" t="s">
        <v>66</v>
      </c>
      <c r="C3" s="3" t="s">
        <v>207</v>
      </c>
      <c r="D3" s="3" t="s">
        <v>208</v>
      </c>
      <c r="E3" s="3" t="s">
        <v>209</v>
      </c>
      <c r="F3" s="3" t="s">
        <v>210</v>
      </c>
      <c r="G3" s="3" t="s">
        <v>211</v>
      </c>
      <c r="H3" s="3" t="s">
        <v>212</v>
      </c>
      <c r="I3" s="3" t="s">
        <v>70</v>
      </c>
    </row>
    <row r="4" spans="1:9" ht="55.05" customHeight="1" x14ac:dyDescent="0.25">
      <c r="A4" s="4" t="s">
        <v>213</v>
      </c>
      <c r="B4" s="4" t="s">
        <v>66</v>
      </c>
      <c r="C4" s="5" t="s">
        <v>207</v>
      </c>
      <c r="D4" s="5" t="s">
        <v>214</v>
      </c>
      <c r="E4" s="5" t="s">
        <v>209</v>
      </c>
      <c r="F4" s="5" t="s">
        <v>215</v>
      </c>
      <c r="G4" s="5" t="s">
        <v>216</v>
      </c>
      <c r="H4" s="5" t="s">
        <v>217</v>
      </c>
      <c r="I4" s="5" t="s">
        <v>70</v>
      </c>
    </row>
    <row r="5" spans="1:9" ht="55.05" customHeight="1" x14ac:dyDescent="0.25">
      <c r="A5" s="2" t="s">
        <v>218</v>
      </c>
      <c r="B5" s="2" t="s">
        <v>66</v>
      </c>
      <c r="C5" s="3" t="s">
        <v>207</v>
      </c>
      <c r="D5" s="3" t="s">
        <v>219</v>
      </c>
      <c r="E5" s="3" t="s">
        <v>209</v>
      </c>
      <c r="F5" s="3" t="s">
        <v>220</v>
      </c>
      <c r="G5" s="3" t="s">
        <v>221</v>
      </c>
      <c r="H5" s="3" t="s">
        <v>222</v>
      </c>
      <c r="I5" s="3" t="s">
        <v>70</v>
      </c>
    </row>
    <row r="6" spans="1:9" ht="55.05" customHeight="1" x14ac:dyDescent="0.25">
      <c r="A6" s="4" t="s">
        <v>223</v>
      </c>
      <c r="B6" s="4" t="s">
        <v>182</v>
      </c>
      <c r="C6" s="5" t="s">
        <v>224</v>
      </c>
      <c r="D6" s="5" t="s">
        <v>225</v>
      </c>
      <c r="E6" s="5" t="s">
        <v>11</v>
      </c>
      <c r="F6" s="5" t="s">
        <v>226</v>
      </c>
      <c r="G6" s="5" t="s">
        <v>211</v>
      </c>
      <c r="H6" s="5" t="s">
        <v>227</v>
      </c>
      <c r="I6" s="5" t="s">
        <v>70</v>
      </c>
    </row>
    <row r="7" spans="1:9" ht="55.05" customHeight="1" x14ac:dyDescent="0.25">
      <c r="A7" s="2" t="s">
        <v>228</v>
      </c>
      <c r="B7" s="2" t="s">
        <v>177</v>
      </c>
      <c r="C7" s="3" t="s">
        <v>229</v>
      </c>
      <c r="D7" s="3" t="s">
        <v>230</v>
      </c>
      <c r="E7" s="3" t="s">
        <v>63</v>
      </c>
      <c r="F7" s="3" t="s">
        <v>231</v>
      </c>
      <c r="G7" s="3" t="s">
        <v>211</v>
      </c>
      <c r="H7" s="3" t="s">
        <v>232</v>
      </c>
      <c r="I7" s="3" t="s">
        <v>70</v>
      </c>
    </row>
    <row r="8" spans="1:9" ht="55.05" customHeight="1" x14ac:dyDescent="0.25">
      <c r="A8" s="4" t="s">
        <v>233</v>
      </c>
      <c r="B8" s="4" t="s">
        <v>177</v>
      </c>
      <c r="C8" s="5" t="s">
        <v>229</v>
      </c>
      <c r="D8" s="5" t="s">
        <v>234</v>
      </c>
      <c r="E8" s="5" t="s">
        <v>63</v>
      </c>
      <c r="F8" s="5" t="s">
        <v>235</v>
      </c>
      <c r="G8" s="5" t="s">
        <v>211</v>
      </c>
      <c r="H8" s="5" t="s">
        <v>236</v>
      </c>
      <c r="I8" s="5" t="s">
        <v>70</v>
      </c>
    </row>
    <row r="9" spans="1:9" ht="55.05" customHeight="1" x14ac:dyDescent="0.25">
      <c r="A9" s="2" t="s">
        <v>237</v>
      </c>
      <c r="B9" s="2" t="s">
        <v>186</v>
      </c>
      <c r="C9" s="3" t="s">
        <v>238</v>
      </c>
      <c r="D9" s="3" t="s">
        <v>239</v>
      </c>
      <c r="E9" s="3" t="s">
        <v>11</v>
      </c>
      <c r="F9" s="3" t="s">
        <v>240</v>
      </c>
      <c r="G9" s="3" t="s">
        <v>241</v>
      </c>
      <c r="H9" s="3" t="s">
        <v>242</v>
      </c>
      <c r="I9" s="3" t="s">
        <v>70</v>
      </c>
    </row>
    <row r="10" spans="1:9" ht="55.05" customHeight="1" x14ac:dyDescent="0.25">
      <c r="A10" s="4" t="s">
        <v>243</v>
      </c>
      <c r="B10" s="4" t="s">
        <v>15</v>
      </c>
      <c r="C10" s="5" t="s">
        <v>244</v>
      </c>
      <c r="D10" s="5" t="s">
        <v>245</v>
      </c>
      <c r="E10" s="5" t="s">
        <v>246</v>
      </c>
      <c r="F10" s="5" t="s">
        <v>247</v>
      </c>
      <c r="G10" s="5" t="s">
        <v>248</v>
      </c>
      <c r="H10" s="5" t="s">
        <v>249</v>
      </c>
      <c r="I10" s="5" t="s">
        <v>70</v>
      </c>
    </row>
    <row r="11" spans="1:9" ht="55.05" customHeight="1" x14ac:dyDescent="0.25">
      <c r="A11" s="2" t="s">
        <v>250</v>
      </c>
      <c r="B11" s="2" t="s">
        <v>110</v>
      </c>
      <c r="C11" s="3" t="s">
        <v>96</v>
      </c>
      <c r="D11" s="3" t="s">
        <v>251</v>
      </c>
      <c r="E11" s="3" t="s">
        <v>78</v>
      </c>
      <c r="F11" s="3" t="s">
        <v>252</v>
      </c>
      <c r="G11" s="3" t="s">
        <v>211</v>
      </c>
      <c r="H11" s="3" t="s">
        <v>253</v>
      </c>
      <c r="I11" s="3" t="s">
        <v>70</v>
      </c>
    </row>
    <row r="12" spans="1:9" ht="55.05" customHeight="1" x14ac:dyDescent="0.25">
      <c r="A12" s="4" t="s">
        <v>254</v>
      </c>
      <c r="B12" s="4" t="s">
        <v>110</v>
      </c>
      <c r="C12" s="5" t="s">
        <v>96</v>
      </c>
      <c r="D12" s="5" t="s">
        <v>255</v>
      </c>
      <c r="E12" s="5" t="s">
        <v>63</v>
      </c>
      <c r="F12" s="5" t="s">
        <v>256</v>
      </c>
      <c r="G12" s="5" t="s">
        <v>257</v>
      </c>
      <c r="H12" s="5" t="s">
        <v>258</v>
      </c>
      <c r="I12" s="5" t="s">
        <v>70</v>
      </c>
    </row>
    <row r="13" spans="1:9" ht="55.05" customHeight="1" x14ac:dyDescent="0.25">
      <c r="A13" s="2" t="s">
        <v>259</v>
      </c>
      <c r="B13" s="2" t="s">
        <v>91</v>
      </c>
      <c r="C13" s="3" t="s">
        <v>82</v>
      </c>
      <c r="D13" s="3" t="s">
        <v>92</v>
      </c>
      <c r="E13" s="3" t="s">
        <v>63</v>
      </c>
      <c r="F13" s="3" t="s">
        <v>260</v>
      </c>
      <c r="G13" s="3" t="s">
        <v>211</v>
      </c>
      <c r="H13" s="3" t="s">
        <v>261</v>
      </c>
      <c r="I13" s="3" t="s">
        <v>70</v>
      </c>
    </row>
    <row r="14" spans="1:9" ht="55.05" customHeight="1" x14ac:dyDescent="0.25">
      <c r="A14" s="4" t="s">
        <v>262</v>
      </c>
      <c r="B14" s="4" t="s">
        <v>127</v>
      </c>
      <c r="C14" s="5" t="s">
        <v>115</v>
      </c>
      <c r="D14" s="5" t="s">
        <v>263</v>
      </c>
      <c r="E14" s="5" t="s">
        <v>63</v>
      </c>
      <c r="F14" s="5" t="s">
        <v>264</v>
      </c>
      <c r="G14" s="5" t="s">
        <v>211</v>
      </c>
      <c r="H14" s="5" t="s">
        <v>265</v>
      </c>
      <c r="I14" s="5" t="s">
        <v>70</v>
      </c>
    </row>
    <row r="15" spans="1:9" ht="55.05" customHeight="1" x14ac:dyDescent="0.25">
      <c r="A15" s="2" t="s">
        <v>266</v>
      </c>
      <c r="B15" s="2" t="s">
        <v>154</v>
      </c>
      <c r="C15" s="3" t="s">
        <v>267</v>
      </c>
      <c r="D15" s="3" t="s">
        <v>268</v>
      </c>
      <c r="E15" s="3" t="s">
        <v>63</v>
      </c>
      <c r="F15" s="3" t="s">
        <v>269</v>
      </c>
      <c r="G15" s="3" t="s">
        <v>211</v>
      </c>
      <c r="H15" s="3" t="s">
        <v>270</v>
      </c>
      <c r="I15" s="3" t="s">
        <v>70</v>
      </c>
    </row>
    <row r="16" spans="1:9" ht="55.05" customHeight="1" x14ac:dyDescent="0.25">
      <c r="A16" s="4" t="s">
        <v>271</v>
      </c>
      <c r="B16" s="4" t="s">
        <v>173</v>
      </c>
      <c r="C16" s="5" t="s">
        <v>159</v>
      </c>
      <c r="D16" s="5" t="s">
        <v>272</v>
      </c>
      <c r="E16" s="5" t="s">
        <v>63</v>
      </c>
      <c r="F16" s="5" t="s">
        <v>273</v>
      </c>
      <c r="G16" s="5" t="s">
        <v>211</v>
      </c>
      <c r="H16" s="5" t="s">
        <v>274</v>
      </c>
      <c r="I16" s="5" t="s">
        <v>70</v>
      </c>
    </row>
    <row r="17" spans="1:9" ht="55.05" customHeight="1" x14ac:dyDescent="0.25">
      <c r="A17" s="2" t="s">
        <v>275</v>
      </c>
      <c r="B17" s="2" t="s">
        <v>192</v>
      </c>
      <c r="C17" s="3" t="s">
        <v>70</v>
      </c>
      <c r="D17" s="3" t="s">
        <v>276</v>
      </c>
      <c r="E17" s="3" t="s">
        <v>11</v>
      </c>
      <c r="F17" s="3" t="s">
        <v>277</v>
      </c>
      <c r="G17" s="3" t="s">
        <v>211</v>
      </c>
      <c r="H17" s="3" t="s">
        <v>278</v>
      </c>
      <c r="I17" s="3" t="s">
        <v>70</v>
      </c>
    </row>
    <row r="18" spans="1:9" ht="55.05" customHeight="1" x14ac:dyDescent="0.25">
      <c r="A18" s="4" t="s">
        <v>279</v>
      </c>
      <c r="B18" s="4" t="s">
        <v>186</v>
      </c>
      <c r="C18" s="5" t="s">
        <v>70</v>
      </c>
      <c r="D18" s="5" t="s">
        <v>280</v>
      </c>
      <c r="E18" s="5" t="s">
        <v>11</v>
      </c>
      <c r="F18" s="5" t="s">
        <v>281</v>
      </c>
      <c r="G18" s="5" t="s">
        <v>282</v>
      </c>
      <c r="H18" s="5" t="s">
        <v>283</v>
      </c>
      <c r="I18" s="5" t="s">
        <v>70</v>
      </c>
    </row>
    <row r="19" spans="1:9" ht="55.05" customHeight="1" x14ac:dyDescent="0.25">
      <c r="A19" s="2" t="s">
        <v>284</v>
      </c>
      <c r="B19" s="2" t="s">
        <v>177</v>
      </c>
      <c r="C19" s="3" t="s">
        <v>229</v>
      </c>
      <c r="D19" s="3" t="s">
        <v>285</v>
      </c>
      <c r="E19" s="3" t="s">
        <v>63</v>
      </c>
      <c r="F19" s="3" t="s">
        <v>286</v>
      </c>
      <c r="G19" s="3" t="s">
        <v>211</v>
      </c>
      <c r="H19" s="3" t="s">
        <v>287</v>
      </c>
      <c r="I19" s="3" t="s">
        <v>70</v>
      </c>
    </row>
    <row r="20" spans="1:9" ht="55.05" customHeight="1" x14ac:dyDescent="0.25">
      <c r="A20" s="4" t="s">
        <v>288</v>
      </c>
      <c r="B20" s="4" t="s">
        <v>66</v>
      </c>
      <c r="C20" s="5" t="s">
        <v>207</v>
      </c>
      <c r="D20" s="5" t="s">
        <v>289</v>
      </c>
      <c r="E20" s="5" t="s">
        <v>11</v>
      </c>
      <c r="F20" s="5" t="s">
        <v>290</v>
      </c>
      <c r="G20" s="5" t="s">
        <v>211</v>
      </c>
      <c r="H20" s="5" t="s">
        <v>291</v>
      </c>
      <c r="I20" s="5" t="s">
        <v>70</v>
      </c>
    </row>
    <row r="21" spans="1:9" ht="55.05" customHeight="1" x14ac:dyDescent="0.25">
      <c r="A21" s="2" t="s">
        <v>292</v>
      </c>
      <c r="B21" s="2" t="s">
        <v>127</v>
      </c>
      <c r="C21" s="3" t="s">
        <v>115</v>
      </c>
      <c r="D21" s="3" t="s">
        <v>293</v>
      </c>
      <c r="E21" s="3" t="s">
        <v>63</v>
      </c>
      <c r="F21" s="3" t="s">
        <v>294</v>
      </c>
      <c r="G21" s="3" t="s">
        <v>295</v>
      </c>
      <c r="H21" s="3" t="s">
        <v>296</v>
      </c>
      <c r="I21" s="3" t="s">
        <v>70</v>
      </c>
    </row>
    <row r="22" spans="1:9" ht="55.05" customHeight="1" x14ac:dyDescent="0.25">
      <c r="A22" s="4" t="s">
        <v>297</v>
      </c>
      <c r="B22" s="4" t="s">
        <v>182</v>
      </c>
      <c r="C22" s="5" t="s">
        <v>224</v>
      </c>
      <c r="D22" s="5" t="s">
        <v>298</v>
      </c>
      <c r="E22" s="5" t="s">
        <v>11</v>
      </c>
      <c r="F22" s="5" t="s">
        <v>299</v>
      </c>
      <c r="G22" s="5" t="s">
        <v>211</v>
      </c>
      <c r="H22" s="5" t="s">
        <v>300</v>
      </c>
      <c r="I22" s="5" t="s">
        <v>70</v>
      </c>
    </row>
    <row r="23" spans="1:9" ht="64.8" customHeight="1" x14ac:dyDescent="0.25">
      <c r="A23" s="2" t="s">
        <v>301</v>
      </c>
      <c r="B23" s="2" t="s">
        <v>8</v>
      </c>
      <c r="C23" s="3" t="s">
        <v>9</v>
      </c>
      <c r="D23" s="3" t="s">
        <v>302</v>
      </c>
      <c r="E23" s="3" t="s">
        <v>303</v>
      </c>
      <c r="F23" s="3" t="s">
        <v>304</v>
      </c>
      <c r="G23" s="3" t="s">
        <v>305</v>
      </c>
      <c r="H23" s="3" t="s">
        <v>306</v>
      </c>
      <c r="I23" s="3" t="s">
        <v>14</v>
      </c>
    </row>
    <row r="24" spans="1:9" ht="55.05" customHeight="1" x14ac:dyDescent="0.25">
      <c r="A24" s="4" t="s">
        <v>307</v>
      </c>
      <c r="B24" s="4" t="s">
        <v>28</v>
      </c>
      <c r="C24" s="5" t="s">
        <v>9</v>
      </c>
      <c r="D24" s="5" t="s">
        <v>29</v>
      </c>
      <c r="E24" s="5" t="s">
        <v>308</v>
      </c>
      <c r="F24" s="5" t="s">
        <v>309</v>
      </c>
      <c r="G24" s="5" t="s">
        <v>310</v>
      </c>
      <c r="H24" s="5" t="s">
        <v>311</v>
      </c>
      <c r="I24" s="5" t="s">
        <v>14</v>
      </c>
    </row>
    <row r="25" spans="1:9" ht="55.05" customHeight="1" x14ac:dyDescent="0.25">
      <c r="A25" s="2" t="s">
        <v>312</v>
      </c>
      <c r="B25" s="2" t="s">
        <v>41</v>
      </c>
      <c r="C25" s="3" t="s">
        <v>42</v>
      </c>
      <c r="D25" s="3" t="s">
        <v>313</v>
      </c>
      <c r="E25" s="3" t="s">
        <v>314</v>
      </c>
      <c r="F25" s="3" t="s">
        <v>315</v>
      </c>
      <c r="G25" s="3" t="s">
        <v>316</v>
      </c>
      <c r="H25" s="3" t="s">
        <v>317</v>
      </c>
      <c r="I25" s="3" t="s">
        <v>14</v>
      </c>
    </row>
    <row r="26" spans="1:9" ht="55.05" customHeight="1" x14ac:dyDescent="0.25">
      <c r="A26" s="4" t="s">
        <v>318</v>
      </c>
      <c r="B26" s="4" t="s">
        <v>48</v>
      </c>
      <c r="C26" s="5" t="s">
        <v>42</v>
      </c>
      <c r="D26" s="5" t="s">
        <v>319</v>
      </c>
      <c r="E26" s="5" t="s">
        <v>320</v>
      </c>
      <c r="F26" s="5" t="s">
        <v>321</v>
      </c>
      <c r="G26" s="5" t="s">
        <v>322</v>
      </c>
      <c r="H26" s="5" t="s">
        <v>323</v>
      </c>
      <c r="I26" s="5" t="s">
        <v>14</v>
      </c>
    </row>
    <row r="27" spans="1:9" ht="55.05" customHeight="1" x14ac:dyDescent="0.25">
      <c r="A27" s="2" t="s">
        <v>324</v>
      </c>
      <c r="B27" s="2" t="s">
        <v>53</v>
      </c>
      <c r="C27" s="3" t="s">
        <v>42</v>
      </c>
      <c r="D27" s="3" t="s">
        <v>325</v>
      </c>
      <c r="E27" s="3" t="s">
        <v>326</v>
      </c>
      <c r="F27" s="3" t="s">
        <v>327</v>
      </c>
      <c r="G27" s="3" t="s">
        <v>328</v>
      </c>
      <c r="H27" s="3" t="s">
        <v>329</v>
      </c>
      <c r="I27" s="3" t="s">
        <v>14</v>
      </c>
    </row>
    <row r="28" spans="1:9" ht="55.05" customHeight="1" x14ac:dyDescent="0.25">
      <c r="A28" s="4" t="s">
        <v>330</v>
      </c>
      <c r="B28" s="4" t="s">
        <v>61</v>
      </c>
      <c r="C28" s="5" t="s">
        <v>42</v>
      </c>
      <c r="D28" s="5" t="s">
        <v>62</v>
      </c>
      <c r="E28" s="5" t="s">
        <v>63</v>
      </c>
      <c r="F28" s="5" t="s">
        <v>331</v>
      </c>
      <c r="G28" s="5" t="s">
        <v>211</v>
      </c>
      <c r="H28" s="5" t="s">
        <v>332</v>
      </c>
      <c r="I28" s="5" t="s">
        <v>14</v>
      </c>
    </row>
    <row r="29" spans="1:9" ht="55.05" customHeight="1" x14ac:dyDescent="0.25">
      <c r="A29" s="2" t="s">
        <v>333</v>
      </c>
      <c r="B29" s="2" t="s">
        <v>71</v>
      </c>
      <c r="C29" s="3" t="s">
        <v>72</v>
      </c>
      <c r="D29" s="3" t="s">
        <v>334</v>
      </c>
      <c r="E29" s="3" t="s">
        <v>63</v>
      </c>
      <c r="F29" s="3" t="s">
        <v>335</v>
      </c>
      <c r="G29" s="3" t="s">
        <v>211</v>
      </c>
      <c r="H29" s="3" t="s">
        <v>336</v>
      </c>
      <c r="I29" s="3" t="s">
        <v>14</v>
      </c>
    </row>
    <row r="30" spans="1:9" ht="55.05" customHeight="1" x14ac:dyDescent="0.25">
      <c r="A30" s="4" t="s">
        <v>337</v>
      </c>
      <c r="B30" s="4" t="s">
        <v>76</v>
      </c>
      <c r="C30" s="5" t="s">
        <v>72</v>
      </c>
      <c r="D30" s="5" t="s">
        <v>338</v>
      </c>
      <c r="E30" s="5" t="s">
        <v>134</v>
      </c>
      <c r="F30" s="5" t="s">
        <v>339</v>
      </c>
      <c r="G30" s="5" t="s">
        <v>211</v>
      </c>
      <c r="H30" s="5" t="s">
        <v>340</v>
      </c>
      <c r="I30" s="5" t="s">
        <v>14</v>
      </c>
    </row>
    <row r="31" spans="1:9" ht="55.05" customHeight="1" x14ac:dyDescent="0.25">
      <c r="A31" s="2" t="s">
        <v>341</v>
      </c>
      <c r="B31" s="2" t="s">
        <v>81</v>
      </c>
      <c r="C31" s="3" t="s">
        <v>82</v>
      </c>
      <c r="D31" s="3" t="s">
        <v>342</v>
      </c>
      <c r="E31" s="3" t="s">
        <v>84</v>
      </c>
      <c r="F31" s="3" t="s">
        <v>343</v>
      </c>
      <c r="G31" s="3" t="s">
        <v>344</v>
      </c>
      <c r="H31" s="3" t="s">
        <v>345</v>
      </c>
      <c r="I31" s="3" t="s">
        <v>14</v>
      </c>
    </row>
    <row r="32" spans="1:9" ht="55.05" customHeight="1" x14ac:dyDescent="0.25">
      <c r="A32" s="4" t="s">
        <v>346</v>
      </c>
      <c r="B32" s="4" t="s">
        <v>87</v>
      </c>
      <c r="C32" s="5" t="s">
        <v>82</v>
      </c>
      <c r="D32" s="5" t="s">
        <v>347</v>
      </c>
      <c r="E32" s="5" t="s">
        <v>84</v>
      </c>
      <c r="F32" s="5" t="s">
        <v>348</v>
      </c>
      <c r="G32" s="5" t="s">
        <v>349</v>
      </c>
      <c r="H32" s="5" t="s">
        <v>350</v>
      </c>
      <c r="I32" s="5" t="s">
        <v>14</v>
      </c>
    </row>
    <row r="33" spans="1:9" ht="55.05" customHeight="1" x14ac:dyDescent="0.25">
      <c r="A33" s="2" t="s">
        <v>351</v>
      </c>
      <c r="B33" s="2" t="s">
        <v>95</v>
      </c>
      <c r="C33" s="3" t="s">
        <v>96</v>
      </c>
      <c r="D33" s="3" t="s">
        <v>352</v>
      </c>
      <c r="E33" s="3" t="s">
        <v>103</v>
      </c>
      <c r="F33" s="3" t="s">
        <v>353</v>
      </c>
      <c r="G33" s="3" t="s">
        <v>354</v>
      </c>
      <c r="H33" s="3" t="s">
        <v>355</v>
      </c>
      <c r="I33" s="3" t="s">
        <v>14</v>
      </c>
    </row>
    <row r="34" spans="1:9" ht="55.05" customHeight="1" x14ac:dyDescent="0.25">
      <c r="A34" s="4" t="s">
        <v>356</v>
      </c>
      <c r="B34" s="4" t="s">
        <v>106</v>
      </c>
      <c r="C34" s="5" t="s">
        <v>96</v>
      </c>
      <c r="D34" s="5" t="s">
        <v>357</v>
      </c>
      <c r="E34" s="5" t="s">
        <v>358</v>
      </c>
      <c r="F34" s="5" t="s">
        <v>359</v>
      </c>
      <c r="G34" s="5" t="s">
        <v>360</v>
      </c>
      <c r="H34" s="5" t="s">
        <v>361</v>
      </c>
      <c r="I34" s="5" t="s">
        <v>14</v>
      </c>
    </row>
    <row r="35" spans="1:9" ht="55.05" customHeight="1" x14ac:dyDescent="0.25">
      <c r="A35" s="2" t="s">
        <v>362</v>
      </c>
      <c r="B35" s="2" t="s">
        <v>101</v>
      </c>
      <c r="C35" s="3" t="s">
        <v>96</v>
      </c>
      <c r="D35" s="3" t="s">
        <v>363</v>
      </c>
      <c r="E35" s="3" t="s">
        <v>63</v>
      </c>
      <c r="F35" s="3" t="s">
        <v>364</v>
      </c>
      <c r="G35" s="3" t="s">
        <v>365</v>
      </c>
      <c r="H35" s="3" t="s">
        <v>366</v>
      </c>
      <c r="I35" s="3" t="s">
        <v>14</v>
      </c>
    </row>
    <row r="36" spans="1:9" ht="55.05" customHeight="1" x14ac:dyDescent="0.25">
      <c r="A36" s="4" t="s">
        <v>367</v>
      </c>
      <c r="B36" s="4" t="s">
        <v>114</v>
      </c>
      <c r="C36" s="5" t="s">
        <v>115</v>
      </c>
      <c r="D36" s="5" t="s">
        <v>368</v>
      </c>
      <c r="E36" s="5" t="s">
        <v>369</v>
      </c>
      <c r="F36" s="5" t="s">
        <v>370</v>
      </c>
      <c r="G36" s="5" t="s">
        <v>371</v>
      </c>
      <c r="H36" s="5" t="s">
        <v>372</v>
      </c>
      <c r="I36" s="5" t="s">
        <v>14</v>
      </c>
    </row>
    <row r="37" spans="1:9" ht="55.05" customHeight="1" x14ac:dyDescent="0.25">
      <c r="A37" s="2" t="s">
        <v>373</v>
      </c>
      <c r="B37" s="2" t="s">
        <v>119</v>
      </c>
      <c r="C37" s="3" t="s">
        <v>115</v>
      </c>
      <c r="D37" s="3" t="s">
        <v>374</v>
      </c>
      <c r="E37" s="3" t="s">
        <v>63</v>
      </c>
      <c r="F37" s="3" t="s">
        <v>375</v>
      </c>
      <c r="G37" s="3" t="s">
        <v>376</v>
      </c>
      <c r="H37" s="3" t="s">
        <v>377</v>
      </c>
      <c r="I37" s="3" t="s">
        <v>14</v>
      </c>
    </row>
    <row r="38" spans="1:9" ht="55.05" customHeight="1" x14ac:dyDescent="0.25">
      <c r="A38" s="4" t="s">
        <v>378</v>
      </c>
      <c r="B38" s="4" t="s">
        <v>123</v>
      </c>
      <c r="C38" s="5" t="s">
        <v>115</v>
      </c>
      <c r="D38" s="5" t="s">
        <v>379</v>
      </c>
      <c r="E38" s="5" t="s">
        <v>63</v>
      </c>
      <c r="F38" s="5" t="s">
        <v>380</v>
      </c>
      <c r="G38" s="5" t="s">
        <v>381</v>
      </c>
      <c r="H38" s="5" t="s">
        <v>382</v>
      </c>
      <c r="I38" s="5" t="s">
        <v>14</v>
      </c>
    </row>
    <row r="39" spans="1:9" ht="55.05" customHeight="1" x14ac:dyDescent="0.25">
      <c r="A39" s="2" t="s">
        <v>383</v>
      </c>
      <c r="B39" s="2" t="s">
        <v>131</v>
      </c>
      <c r="C39" s="3" t="s">
        <v>132</v>
      </c>
      <c r="D39" s="3" t="s">
        <v>384</v>
      </c>
      <c r="E39" s="3" t="s">
        <v>134</v>
      </c>
      <c r="F39" s="3" t="s">
        <v>385</v>
      </c>
      <c r="G39" s="3" t="s">
        <v>386</v>
      </c>
      <c r="H39" s="3" t="s">
        <v>387</v>
      </c>
      <c r="I39" s="3" t="s">
        <v>14</v>
      </c>
    </row>
    <row r="40" spans="1:9" ht="55.05" customHeight="1" x14ac:dyDescent="0.25">
      <c r="A40" s="4" t="s">
        <v>388</v>
      </c>
      <c r="B40" s="4" t="s">
        <v>137</v>
      </c>
      <c r="C40" s="5" t="s">
        <v>132</v>
      </c>
      <c r="D40" s="5" t="s">
        <v>389</v>
      </c>
      <c r="E40" s="5" t="s">
        <v>390</v>
      </c>
      <c r="F40" s="5" t="s">
        <v>391</v>
      </c>
      <c r="G40" s="5" t="s">
        <v>392</v>
      </c>
      <c r="H40" s="5" t="s">
        <v>393</v>
      </c>
      <c r="I40" s="5" t="s">
        <v>14</v>
      </c>
    </row>
    <row r="41" spans="1:9" ht="55.05" customHeight="1" x14ac:dyDescent="0.25">
      <c r="A41" s="2" t="s">
        <v>394</v>
      </c>
      <c r="B41" s="2" t="s">
        <v>141</v>
      </c>
      <c r="C41" s="3" t="s">
        <v>132</v>
      </c>
      <c r="D41" s="3" t="s">
        <v>395</v>
      </c>
      <c r="E41" s="3" t="s">
        <v>63</v>
      </c>
      <c r="F41" s="3" t="s">
        <v>396</v>
      </c>
      <c r="G41" s="3" t="s">
        <v>397</v>
      </c>
      <c r="H41" s="3" t="s">
        <v>144</v>
      </c>
      <c r="I41" s="3" t="s">
        <v>14</v>
      </c>
    </row>
    <row r="42" spans="1:9" ht="55.05" customHeight="1" x14ac:dyDescent="0.25">
      <c r="A42" s="4" t="s">
        <v>398</v>
      </c>
      <c r="B42" s="4" t="s">
        <v>145</v>
      </c>
      <c r="C42" s="5" t="s">
        <v>146</v>
      </c>
      <c r="D42" s="5" t="s">
        <v>147</v>
      </c>
      <c r="E42" s="5" t="s">
        <v>63</v>
      </c>
      <c r="F42" s="5" t="s">
        <v>399</v>
      </c>
      <c r="G42" s="5" t="s">
        <v>400</v>
      </c>
      <c r="H42" s="5" t="s">
        <v>401</v>
      </c>
      <c r="I42" s="5" t="s">
        <v>14</v>
      </c>
    </row>
    <row r="43" spans="1:9" ht="55.05" customHeight="1" x14ac:dyDescent="0.25">
      <c r="A43" s="2" t="s">
        <v>402</v>
      </c>
      <c r="B43" s="2" t="s">
        <v>150</v>
      </c>
      <c r="C43" s="3" t="s">
        <v>146</v>
      </c>
      <c r="D43" s="3" t="s">
        <v>403</v>
      </c>
      <c r="E43" s="3" t="s">
        <v>63</v>
      </c>
      <c r="F43" s="3" t="s">
        <v>404</v>
      </c>
      <c r="G43" s="3" t="s">
        <v>248</v>
      </c>
      <c r="H43" s="3" t="s">
        <v>405</v>
      </c>
      <c r="I43" s="3" t="s">
        <v>14</v>
      </c>
    </row>
    <row r="44" spans="1:9" ht="55.05" customHeight="1" x14ac:dyDescent="0.25">
      <c r="A44" s="4" t="s">
        <v>406</v>
      </c>
      <c r="B44" s="4" t="s">
        <v>158</v>
      </c>
      <c r="C44" s="5" t="s">
        <v>159</v>
      </c>
      <c r="D44" s="5" t="s">
        <v>407</v>
      </c>
      <c r="E44" s="5" t="s">
        <v>161</v>
      </c>
      <c r="F44" s="5" t="s">
        <v>408</v>
      </c>
      <c r="G44" s="5" t="s">
        <v>409</v>
      </c>
      <c r="H44" s="5" t="s">
        <v>410</v>
      </c>
      <c r="I44" s="5" t="s">
        <v>14</v>
      </c>
    </row>
    <row r="45" spans="1:9" ht="55.05" customHeight="1" x14ac:dyDescent="0.25">
      <c r="A45" s="2" t="s">
        <v>411</v>
      </c>
      <c r="B45" s="2" t="s">
        <v>164</v>
      </c>
      <c r="C45" s="3" t="s">
        <v>159</v>
      </c>
      <c r="D45" s="3" t="s">
        <v>165</v>
      </c>
      <c r="E45" s="3" t="s">
        <v>63</v>
      </c>
      <c r="F45" s="3" t="s">
        <v>412</v>
      </c>
      <c r="G45" s="3" t="s">
        <v>413</v>
      </c>
      <c r="H45" s="3" t="s">
        <v>168</v>
      </c>
      <c r="I45" s="3" t="s">
        <v>14</v>
      </c>
    </row>
    <row r="46" spans="1:9" ht="55.05" customHeight="1" x14ac:dyDescent="0.25">
      <c r="A46" s="4" t="s">
        <v>414</v>
      </c>
      <c r="B46" s="4" t="s">
        <v>169</v>
      </c>
      <c r="C46" s="5" t="s">
        <v>159</v>
      </c>
      <c r="D46" s="5" t="s">
        <v>415</v>
      </c>
      <c r="E46" s="5" t="s">
        <v>63</v>
      </c>
      <c r="F46" s="5" t="s">
        <v>416</v>
      </c>
      <c r="G46" s="5" t="s">
        <v>417</v>
      </c>
      <c r="H46" s="5" t="s">
        <v>418</v>
      </c>
      <c r="I46" s="5" t="s">
        <v>14</v>
      </c>
    </row>
    <row r="47" spans="1:9" ht="55.05" customHeight="1" x14ac:dyDescent="0.25">
      <c r="A47" s="2" t="s">
        <v>419</v>
      </c>
      <c r="B47" s="2" t="s">
        <v>33</v>
      </c>
      <c r="C47" s="3" t="s">
        <v>9</v>
      </c>
      <c r="D47" s="3" t="s">
        <v>420</v>
      </c>
      <c r="E47" s="3" t="s">
        <v>11</v>
      </c>
      <c r="F47" s="3" t="s">
        <v>421</v>
      </c>
      <c r="G47" s="3" t="s">
        <v>422</v>
      </c>
      <c r="H47" s="3" t="s">
        <v>423</v>
      </c>
      <c r="I47" s="3" t="s">
        <v>14</v>
      </c>
    </row>
    <row r="48" spans="1:9" ht="55.05" customHeight="1" x14ac:dyDescent="0.25">
      <c r="A48" s="4" t="s">
        <v>424</v>
      </c>
      <c r="B48" s="4" t="s">
        <v>41</v>
      </c>
      <c r="C48" s="5" t="s">
        <v>42</v>
      </c>
      <c r="D48" s="5" t="s">
        <v>425</v>
      </c>
      <c r="E48" s="5" t="s">
        <v>11</v>
      </c>
      <c r="F48" s="5" t="s">
        <v>426</v>
      </c>
      <c r="G48" s="5" t="s">
        <v>211</v>
      </c>
      <c r="H48" s="5" t="s">
        <v>427</v>
      </c>
      <c r="I48" s="5" t="s">
        <v>14</v>
      </c>
    </row>
    <row r="49" spans="1:9" ht="55.05" customHeight="1" x14ac:dyDescent="0.25">
      <c r="A49" s="2" t="s">
        <v>428</v>
      </c>
      <c r="B49" s="2" t="s">
        <v>95</v>
      </c>
      <c r="C49" s="3" t="s">
        <v>96</v>
      </c>
      <c r="D49" s="3" t="s">
        <v>429</v>
      </c>
      <c r="E49" s="3" t="s">
        <v>63</v>
      </c>
      <c r="F49" s="3" t="s">
        <v>430</v>
      </c>
      <c r="G49" s="3" t="s">
        <v>431</v>
      </c>
      <c r="H49" s="3" t="s">
        <v>432</v>
      </c>
      <c r="I49" s="3" t="s">
        <v>14</v>
      </c>
    </row>
    <row r="50" spans="1:9" ht="55.05" customHeight="1" x14ac:dyDescent="0.25">
      <c r="A50" s="4" t="s">
        <v>433</v>
      </c>
      <c r="B50" s="4" t="s">
        <v>71</v>
      </c>
      <c r="C50" s="5" t="s">
        <v>72</v>
      </c>
      <c r="D50" s="5" t="s">
        <v>434</v>
      </c>
      <c r="E50" s="5" t="s">
        <v>63</v>
      </c>
      <c r="F50" s="5" t="s">
        <v>435</v>
      </c>
      <c r="G50" s="5" t="s">
        <v>392</v>
      </c>
      <c r="H50" s="5" t="s">
        <v>436</v>
      </c>
      <c r="I50" s="5" t="s">
        <v>14</v>
      </c>
    </row>
    <row r="51" spans="1:9" ht="55.05" customHeight="1" x14ac:dyDescent="0.25">
      <c r="A51" s="2" t="s">
        <v>437</v>
      </c>
      <c r="B51" s="2" t="s">
        <v>81</v>
      </c>
      <c r="C51" s="3" t="s">
        <v>82</v>
      </c>
      <c r="D51" s="3" t="s">
        <v>438</v>
      </c>
      <c r="E51" s="3" t="s">
        <v>63</v>
      </c>
      <c r="F51" s="3" t="s">
        <v>439</v>
      </c>
      <c r="G51" s="3" t="s">
        <v>211</v>
      </c>
      <c r="H51" s="3" t="s">
        <v>440</v>
      </c>
      <c r="I51" s="3" t="s">
        <v>14</v>
      </c>
    </row>
    <row r="52" spans="1:9" ht="55.05" customHeight="1" x14ac:dyDescent="0.25">
      <c r="A52" s="4" t="s">
        <v>441</v>
      </c>
      <c r="B52" s="4" t="s">
        <v>114</v>
      </c>
      <c r="C52" s="5" t="s">
        <v>115</v>
      </c>
      <c r="D52" s="5" t="s">
        <v>442</v>
      </c>
      <c r="E52" s="5" t="s">
        <v>63</v>
      </c>
      <c r="F52" s="5" t="s">
        <v>443</v>
      </c>
      <c r="G52" s="5" t="s">
        <v>211</v>
      </c>
      <c r="H52" s="5" t="s">
        <v>444</v>
      </c>
      <c r="I52" s="5" t="s">
        <v>14</v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60"/>
  <sheetViews>
    <sheetView zoomScale="70" zoomScaleNormal="70" workbookViewId="0">
      <pane ySplit="3" topLeftCell="A4" activePane="bottomLeft" state="frozen"/>
      <selection pane="bottomLeft" activeCell="H7" sqref="H7:H8"/>
    </sheetView>
  </sheetViews>
  <sheetFormatPr defaultRowHeight="13.8" x14ac:dyDescent="0.25"/>
  <cols>
    <col min="1" max="1" width="12" customWidth="1"/>
    <col min="2" max="2" width="20" customWidth="1"/>
    <col min="3" max="3" width="42" customWidth="1"/>
    <col min="4" max="4" width="12" customWidth="1"/>
    <col min="5" max="5" width="25" customWidth="1"/>
    <col min="6" max="6" width="32" customWidth="1"/>
    <col min="7" max="8" width="36" customWidth="1"/>
    <col min="9" max="9" width="12" customWidth="1"/>
    <col min="10" max="10" width="28" customWidth="1"/>
  </cols>
  <sheetData>
    <row r="1" spans="1:10" ht="22.05" customHeight="1" x14ac:dyDescent="0.25">
      <c r="A1" s="8" t="s">
        <v>445</v>
      </c>
      <c r="B1" s="9"/>
      <c r="C1" s="9"/>
      <c r="D1" s="9"/>
      <c r="E1" s="9"/>
      <c r="F1" s="9"/>
      <c r="G1" s="9"/>
      <c r="H1" s="9"/>
      <c r="I1" s="9"/>
      <c r="J1" s="9"/>
    </row>
    <row r="2" spans="1:10" ht="22.05" customHeight="1" x14ac:dyDescent="0.25">
      <c r="A2" s="14" t="s">
        <v>446</v>
      </c>
      <c r="B2" s="9"/>
      <c r="C2" s="9"/>
      <c r="D2" s="10" t="s">
        <v>598</v>
      </c>
      <c r="E2" s="9"/>
      <c r="F2" s="9"/>
      <c r="G2" s="11" t="s">
        <v>447</v>
      </c>
      <c r="H2" s="9"/>
      <c r="I2" s="12" t="s">
        <v>448</v>
      </c>
      <c r="J2" s="9"/>
    </row>
    <row r="3" spans="1:10" ht="36" customHeight="1" x14ac:dyDescent="0.25">
      <c r="A3" s="1" t="s">
        <v>198</v>
      </c>
      <c r="B3" s="1" t="s">
        <v>2</v>
      </c>
      <c r="C3" s="1" t="s">
        <v>200</v>
      </c>
      <c r="D3" s="1" t="s">
        <v>205</v>
      </c>
      <c r="E3" s="1" t="s">
        <v>201</v>
      </c>
      <c r="F3" s="1" t="s">
        <v>449</v>
      </c>
      <c r="G3" s="1" t="s">
        <v>204</v>
      </c>
      <c r="H3" s="1" t="s">
        <v>450</v>
      </c>
      <c r="I3" s="1" t="s">
        <v>451</v>
      </c>
      <c r="J3" s="1" t="s">
        <v>452</v>
      </c>
    </row>
    <row r="4" spans="1:10" ht="40.049999999999997" customHeight="1" x14ac:dyDescent="0.25">
      <c r="A4" s="2" t="s">
        <v>206</v>
      </c>
      <c r="B4" s="2" t="s">
        <v>207</v>
      </c>
      <c r="C4" s="3" t="s">
        <v>453</v>
      </c>
      <c r="D4" s="3" t="s">
        <v>70</v>
      </c>
      <c r="E4" s="3" t="s">
        <v>454</v>
      </c>
      <c r="F4" s="3" t="s">
        <v>455</v>
      </c>
      <c r="G4" s="3" t="s">
        <v>456</v>
      </c>
      <c r="H4" s="3"/>
      <c r="I4" s="3"/>
      <c r="J4" s="3"/>
    </row>
    <row r="5" spans="1:10" ht="40.049999999999997" customHeight="1" x14ac:dyDescent="0.25">
      <c r="A5" s="4" t="s">
        <v>213</v>
      </c>
      <c r="B5" s="4" t="s">
        <v>207</v>
      </c>
      <c r="C5" s="5" t="s">
        <v>457</v>
      </c>
      <c r="D5" s="5" t="s">
        <v>70</v>
      </c>
      <c r="E5" s="5" t="s">
        <v>454</v>
      </c>
      <c r="F5" s="5" t="s">
        <v>458</v>
      </c>
      <c r="G5" s="5" t="s">
        <v>459</v>
      </c>
      <c r="H5" s="5"/>
      <c r="I5" s="5"/>
      <c r="J5" s="5"/>
    </row>
    <row r="6" spans="1:10" ht="40.049999999999997" customHeight="1" x14ac:dyDescent="0.25">
      <c r="A6" s="2" t="s">
        <v>218</v>
      </c>
      <c r="B6" s="2" t="s">
        <v>207</v>
      </c>
      <c r="C6" s="3" t="s">
        <v>460</v>
      </c>
      <c r="D6" s="3" t="s">
        <v>70</v>
      </c>
      <c r="E6" s="3" t="s">
        <v>454</v>
      </c>
      <c r="F6" s="3" t="s">
        <v>461</v>
      </c>
      <c r="G6" s="3" t="s">
        <v>462</v>
      </c>
      <c r="H6" s="3"/>
      <c r="I6" s="3"/>
      <c r="J6" s="3"/>
    </row>
    <row r="7" spans="1:10" ht="40.049999999999997" customHeight="1" x14ac:dyDescent="0.25">
      <c r="A7" s="4" t="s">
        <v>223</v>
      </c>
      <c r="B7" s="4" t="s">
        <v>224</v>
      </c>
      <c r="C7" s="5" t="s">
        <v>463</v>
      </c>
      <c r="D7" s="5" t="s">
        <v>70</v>
      </c>
      <c r="E7" s="5" t="s">
        <v>11</v>
      </c>
      <c r="F7" s="5" t="s">
        <v>464</v>
      </c>
      <c r="G7" s="5" t="s">
        <v>465</v>
      </c>
      <c r="H7" s="5"/>
      <c r="I7" s="5"/>
      <c r="J7" s="5"/>
    </row>
    <row r="8" spans="1:10" ht="40.049999999999997" customHeight="1" x14ac:dyDescent="0.25">
      <c r="A8" s="2" t="s">
        <v>228</v>
      </c>
      <c r="B8" s="2" t="s">
        <v>229</v>
      </c>
      <c r="C8" s="3" t="s">
        <v>466</v>
      </c>
      <c r="D8" s="3" t="s">
        <v>70</v>
      </c>
      <c r="E8" s="3" t="s">
        <v>63</v>
      </c>
      <c r="F8" s="3" t="s">
        <v>467</v>
      </c>
      <c r="G8" s="3" t="s">
        <v>468</v>
      </c>
      <c r="H8" s="3"/>
      <c r="I8" s="3"/>
      <c r="J8" s="3"/>
    </row>
    <row r="9" spans="1:10" ht="40.049999999999997" customHeight="1" x14ac:dyDescent="0.25">
      <c r="A9" s="4" t="s">
        <v>233</v>
      </c>
      <c r="B9" s="4" t="s">
        <v>229</v>
      </c>
      <c r="C9" s="5" t="s">
        <v>469</v>
      </c>
      <c r="D9" s="5" t="s">
        <v>70</v>
      </c>
      <c r="E9" s="5" t="s">
        <v>63</v>
      </c>
      <c r="F9" s="5" t="s">
        <v>470</v>
      </c>
      <c r="G9" s="5" t="s">
        <v>471</v>
      </c>
      <c r="H9" s="5"/>
      <c r="I9" s="5"/>
      <c r="J9" s="5"/>
    </row>
    <row r="10" spans="1:10" ht="40.049999999999997" customHeight="1" x14ac:dyDescent="0.25">
      <c r="A10" s="2" t="s">
        <v>237</v>
      </c>
      <c r="B10" s="2" t="s">
        <v>207</v>
      </c>
      <c r="C10" s="3" t="s">
        <v>472</v>
      </c>
      <c r="D10" s="3" t="s">
        <v>70</v>
      </c>
      <c r="E10" s="3" t="s">
        <v>11</v>
      </c>
      <c r="F10" s="3" t="s">
        <v>319</v>
      </c>
      <c r="G10" s="3" t="s">
        <v>473</v>
      </c>
      <c r="H10" s="3"/>
      <c r="I10" s="3"/>
      <c r="J10" s="3"/>
    </row>
    <row r="11" spans="1:10" ht="40.049999999999997" customHeight="1" x14ac:dyDescent="0.25">
      <c r="A11" s="4" t="s">
        <v>243</v>
      </c>
      <c r="B11" s="4" t="s">
        <v>244</v>
      </c>
      <c r="C11" s="5" t="s">
        <v>474</v>
      </c>
      <c r="D11" s="5" t="s">
        <v>70</v>
      </c>
      <c r="E11" s="5" t="s">
        <v>246</v>
      </c>
      <c r="F11" s="5" t="s">
        <v>475</v>
      </c>
      <c r="G11" s="5" t="s">
        <v>476</v>
      </c>
      <c r="H11" s="5"/>
      <c r="I11" s="5"/>
      <c r="J11" s="5"/>
    </row>
    <row r="12" spans="1:10" ht="40.049999999999997" customHeight="1" x14ac:dyDescent="0.25">
      <c r="A12" s="2" t="s">
        <v>250</v>
      </c>
      <c r="B12" s="2" t="s">
        <v>96</v>
      </c>
      <c r="C12" s="3" t="s">
        <v>477</v>
      </c>
      <c r="D12" s="3" t="s">
        <v>70</v>
      </c>
      <c r="E12" s="3" t="s">
        <v>63</v>
      </c>
      <c r="F12" s="3" t="s">
        <v>478</v>
      </c>
      <c r="G12" s="3" t="s">
        <v>479</v>
      </c>
      <c r="H12" s="3"/>
      <c r="I12" s="3"/>
      <c r="J12" s="3"/>
    </row>
    <row r="13" spans="1:10" ht="40.049999999999997" customHeight="1" x14ac:dyDescent="0.25">
      <c r="A13" s="4" t="s">
        <v>254</v>
      </c>
      <c r="B13" s="4" t="s">
        <v>96</v>
      </c>
      <c r="C13" s="5" t="s">
        <v>480</v>
      </c>
      <c r="D13" s="5" t="s">
        <v>70</v>
      </c>
      <c r="E13" s="5" t="s">
        <v>63</v>
      </c>
      <c r="F13" s="5" t="s">
        <v>481</v>
      </c>
      <c r="G13" s="5" t="s">
        <v>482</v>
      </c>
      <c r="H13" s="5"/>
      <c r="I13" s="5"/>
      <c r="J13" s="5"/>
    </row>
    <row r="14" spans="1:10" ht="40.049999999999997" customHeight="1" x14ac:dyDescent="0.25">
      <c r="A14" s="2" t="s">
        <v>259</v>
      </c>
      <c r="B14" s="2" t="s">
        <v>82</v>
      </c>
      <c r="C14" s="3" t="s">
        <v>483</v>
      </c>
      <c r="D14" s="3" t="s">
        <v>70</v>
      </c>
      <c r="E14" s="3" t="s">
        <v>63</v>
      </c>
      <c r="F14" s="3" t="s">
        <v>484</v>
      </c>
      <c r="G14" s="3" t="s">
        <v>485</v>
      </c>
      <c r="H14" s="3"/>
      <c r="I14" s="3"/>
      <c r="J14" s="3"/>
    </row>
    <row r="15" spans="1:10" ht="40.049999999999997" customHeight="1" x14ac:dyDescent="0.25">
      <c r="A15" s="4" t="s">
        <v>262</v>
      </c>
      <c r="B15" s="4" t="s">
        <v>115</v>
      </c>
      <c r="C15" s="5" t="s">
        <v>486</v>
      </c>
      <c r="D15" s="5" t="s">
        <v>70</v>
      </c>
      <c r="E15" s="5" t="s">
        <v>63</v>
      </c>
      <c r="F15" s="5" t="s">
        <v>487</v>
      </c>
      <c r="G15" s="5" t="s">
        <v>488</v>
      </c>
      <c r="H15" s="5"/>
      <c r="I15" s="5"/>
      <c r="J15" s="5"/>
    </row>
    <row r="16" spans="1:10" ht="40.049999999999997" customHeight="1" x14ac:dyDescent="0.25">
      <c r="A16" s="2" t="s">
        <v>266</v>
      </c>
      <c r="B16" s="2" t="s">
        <v>267</v>
      </c>
      <c r="C16" s="3" t="s">
        <v>489</v>
      </c>
      <c r="D16" s="3" t="s">
        <v>70</v>
      </c>
      <c r="E16" s="3" t="s">
        <v>63</v>
      </c>
      <c r="F16" s="3" t="s">
        <v>490</v>
      </c>
      <c r="G16" s="3" t="s">
        <v>491</v>
      </c>
      <c r="H16" s="3"/>
      <c r="I16" s="3"/>
      <c r="J16" s="3"/>
    </row>
    <row r="17" spans="1:10" ht="40.049999999999997" customHeight="1" x14ac:dyDescent="0.25">
      <c r="A17" s="4" t="s">
        <v>271</v>
      </c>
      <c r="B17" s="4" t="s">
        <v>159</v>
      </c>
      <c r="C17" s="5" t="s">
        <v>492</v>
      </c>
      <c r="D17" s="5" t="s">
        <v>70</v>
      </c>
      <c r="E17" s="5" t="s">
        <v>63</v>
      </c>
      <c r="F17" s="5" t="s">
        <v>493</v>
      </c>
      <c r="G17" s="5" t="s">
        <v>494</v>
      </c>
      <c r="H17" s="5"/>
      <c r="I17" s="5"/>
      <c r="J17" s="5"/>
    </row>
    <row r="18" spans="1:10" ht="40.049999999999997" customHeight="1" x14ac:dyDescent="0.25">
      <c r="A18" s="2" t="s">
        <v>275</v>
      </c>
      <c r="B18" s="2" t="s">
        <v>70</v>
      </c>
      <c r="C18" s="3" t="s">
        <v>495</v>
      </c>
      <c r="D18" s="3" t="s">
        <v>70</v>
      </c>
      <c r="E18" s="3" t="s">
        <v>11</v>
      </c>
      <c r="F18" s="3" t="s">
        <v>496</v>
      </c>
      <c r="G18" s="3" t="s">
        <v>497</v>
      </c>
      <c r="H18" s="3"/>
      <c r="I18" s="3"/>
      <c r="J18" s="3"/>
    </row>
    <row r="19" spans="1:10" ht="40.049999999999997" customHeight="1" x14ac:dyDescent="0.25">
      <c r="A19" s="4" t="s">
        <v>279</v>
      </c>
      <c r="B19" s="4" t="s">
        <v>244</v>
      </c>
      <c r="C19" s="5" t="s">
        <v>498</v>
      </c>
      <c r="D19" s="5" t="s">
        <v>70</v>
      </c>
      <c r="E19" s="5" t="s">
        <v>499</v>
      </c>
      <c r="F19" s="5" t="s">
        <v>500</v>
      </c>
      <c r="G19" s="5" t="s">
        <v>423</v>
      </c>
      <c r="H19" s="5"/>
      <c r="I19" s="5"/>
      <c r="J19" s="5"/>
    </row>
    <row r="20" spans="1:10" ht="40.049999999999997" customHeight="1" x14ac:dyDescent="0.25">
      <c r="A20" s="2" t="s">
        <v>284</v>
      </c>
      <c r="B20" s="2" t="s">
        <v>229</v>
      </c>
      <c r="C20" s="3" t="s">
        <v>501</v>
      </c>
      <c r="D20" s="3" t="s">
        <v>70</v>
      </c>
      <c r="E20" s="3" t="s">
        <v>63</v>
      </c>
      <c r="F20" s="3" t="s">
        <v>502</v>
      </c>
      <c r="G20" s="3" t="s">
        <v>503</v>
      </c>
      <c r="H20" s="3"/>
      <c r="I20" s="3"/>
      <c r="J20" s="3"/>
    </row>
    <row r="21" spans="1:10" ht="40.049999999999997" customHeight="1" x14ac:dyDescent="0.25">
      <c r="A21" s="4" t="s">
        <v>288</v>
      </c>
      <c r="B21" s="4" t="s">
        <v>207</v>
      </c>
      <c r="C21" s="5" t="s">
        <v>504</v>
      </c>
      <c r="D21" s="5" t="s">
        <v>70</v>
      </c>
      <c r="E21" s="5" t="s">
        <v>454</v>
      </c>
      <c r="F21" s="5" t="s">
        <v>505</v>
      </c>
      <c r="G21" s="5" t="s">
        <v>506</v>
      </c>
      <c r="H21" s="5"/>
      <c r="I21" s="5"/>
      <c r="J21" s="5"/>
    </row>
    <row r="22" spans="1:10" ht="40.049999999999997" customHeight="1" x14ac:dyDescent="0.25">
      <c r="A22" s="2" t="s">
        <v>292</v>
      </c>
      <c r="B22" s="2" t="s">
        <v>115</v>
      </c>
      <c r="C22" s="3" t="s">
        <v>507</v>
      </c>
      <c r="D22" s="3" t="s">
        <v>70</v>
      </c>
      <c r="E22" s="3" t="s">
        <v>63</v>
      </c>
      <c r="F22" s="3" t="s">
        <v>508</v>
      </c>
      <c r="G22" s="3" t="s">
        <v>462</v>
      </c>
      <c r="H22" s="3"/>
      <c r="I22" s="3"/>
      <c r="J22" s="3"/>
    </row>
    <row r="23" spans="1:10" ht="40.049999999999997" customHeight="1" x14ac:dyDescent="0.25">
      <c r="A23" s="4" t="s">
        <v>297</v>
      </c>
      <c r="B23" s="4" t="s">
        <v>224</v>
      </c>
      <c r="C23" s="5" t="s">
        <v>509</v>
      </c>
      <c r="D23" s="5" t="s">
        <v>70</v>
      </c>
      <c r="E23" s="5" t="s">
        <v>11</v>
      </c>
      <c r="F23" s="5" t="s">
        <v>510</v>
      </c>
      <c r="G23" s="5" t="s">
        <v>511</v>
      </c>
      <c r="H23" s="5"/>
      <c r="I23" s="5"/>
      <c r="J23" s="5"/>
    </row>
    <row r="24" spans="1:10" ht="40.049999999999997" customHeight="1" x14ac:dyDescent="0.25">
      <c r="A24" s="2" t="s">
        <v>301</v>
      </c>
      <c r="B24" s="2" t="s">
        <v>9</v>
      </c>
      <c r="C24" s="3" t="s">
        <v>512</v>
      </c>
      <c r="D24" s="3" t="s">
        <v>14</v>
      </c>
      <c r="E24" s="3" t="s">
        <v>303</v>
      </c>
      <c r="F24" s="3" t="s">
        <v>513</v>
      </c>
      <c r="G24" s="3" t="s">
        <v>514</v>
      </c>
      <c r="H24" s="3"/>
      <c r="I24" s="3"/>
      <c r="J24" s="3"/>
    </row>
    <row r="25" spans="1:10" ht="40.049999999999997" customHeight="1" x14ac:dyDescent="0.25">
      <c r="A25" s="4" t="s">
        <v>307</v>
      </c>
      <c r="B25" s="4" t="s">
        <v>9</v>
      </c>
      <c r="C25" s="5" t="s">
        <v>515</v>
      </c>
      <c r="D25" s="5" t="s">
        <v>14</v>
      </c>
      <c r="E25" s="5" t="s">
        <v>516</v>
      </c>
      <c r="F25" s="5" t="s">
        <v>517</v>
      </c>
      <c r="G25" s="5" t="s">
        <v>518</v>
      </c>
      <c r="H25" s="5"/>
      <c r="I25" s="5"/>
      <c r="J25" s="5"/>
    </row>
    <row r="26" spans="1:10" ht="40.049999999999997" customHeight="1" x14ac:dyDescent="0.25">
      <c r="A26" s="2" t="s">
        <v>312</v>
      </c>
      <c r="B26" s="2" t="s">
        <v>42</v>
      </c>
      <c r="C26" s="3" t="s">
        <v>519</v>
      </c>
      <c r="D26" s="3" t="s">
        <v>14</v>
      </c>
      <c r="E26" s="3" t="s">
        <v>44</v>
      </c>
      <c r="F26" s="3" t="s">
        <v>520</v>
      </c>
      <c r="G26" s="3" t="s">
        <v>521</v>
      </c>
      <c r="H26" s="3"/>
      <c r="I26" s="3"/>
      <c r="J26" s="3"/>
    </row>
    <row r="27" spans="1:10" ht="40.049999999999997" customHeight="1" x14ac:dyDescent="0.25">
      <c r="A27" s="4" t="s">
        <v>318</v>
      </c>
      <c r="B27" s="4" t="s">
        <v>42</v>
      </c>
      <c r="C27" s="5" t="s">
        <v>319</v>
      </c>
      <c r="D27" s="5" t="s">
        <v>14</v>
      </c>
      <c r="E27" s="5" t="s">
        <v>50</v>
      </c>
      <c r="F27" s="5" t="s">
        <v>319</v>
      </c>
      <c r="G27" s="5" t="s">
        <v>522</v>
      </c>
      <c r="H27" s="5"/>
      <c r="I27" s="5"/>
      <c r="J27" s="5"/>
    </row>
    <row r="28" spans="1:10" ht="40.049999999999997" customHeight="1" x14ac:dyDescent="0.25">
      <c r="A28" s="2" t="s">
        <v>324</v>
      </c>
      <c r="B28" s="2" t="s">
        <v>42</v>
      </c>
      <c r="C28" s="3" t="s">
        <v>523</v>
      </c>
      <c r="D28" s="3" t="s">
        <v>14</v>
      </c>
      <c r="E28" s="3" t="s">
        <v>326</v>
      </c>
      <c r="F28" s="3" t="s">
        <v>524</v>
      </c>
      <c r="G28" s="3" t="s">
        <v>522</v>
      </c>
      <c r="H28" s="3"/>
      <c r="I28" s="3"/>
      <c r="J28" s="3"/>
    </row>
    <row r="29" spans="1:10" ht="40.049999999999997" customHeight="1" x14ac:dyDescent="0.25">
      <c r="A29" s="4" t="s">
        <v>330</v>
      </c>
      <c r="B29" s="4" t="s">
        <v>42</v>
      </c>
      <c r="C29" s="5" t="s">
        <v>62</v>
      </c>
      <c r="D29" s="5" t="s">
        <v>14</v>
      </c>
      <c r="E29" s="5" t="s">
        <v>63</v>
      </c>
      <c r="F29" s="5" t="s">
        <v>525</v>
      </c>
      <c r="G29" s="5" t="s">
        <v>526</v>
      </c>
      <c r="H29" s="5"/>
      <c r="I29" s="5"/>
      <c r="J29" s="5"/>
    </row>
    <row r="30" spans="1:10" ht="40.049999999999997" customHeight="1" x14ac:dyDescent="0.25">
      <c r="A30" s="2" t="s">
        <v>333</v>
      </c>
      <c r="B30" s="2" t="s">
        <v>72</v>
      </c>
      <c r="C30" s="3" t="s">
        <v>334</v>
      </c>
      <c r="D30" s="3" t="s">
        <v>14</v>
      </c>
      <c r="E30" s="3" t="s">
        <v>63</v>
      </c>
      <c r="F30" s="3" t="s">
        <v>527</v>
      </c>
      <c r="G30" s="3" t="s">
        <v>528</v>
      </c>
      <c r="H30" s="3"/>
      <c r="I30" s="3"/>
      <c r="J30" s="3"/>
    </row>
    <row r="31" spans="1:10" ht="40.049999999999997" customHeight="1" x14ac:dyDescent="0.25">
      <c r="A31" s="4" t="s">
        <v>337</v>
      </c>
      <c r="B31" s="4" t="s">
        <v>72</v>
      </c>
      <c r="C31" s="5" t="s">
        <v>529</v>
      </c>
      <c r="D31" s="5" t="s">
        <v>14</v>
      </c>
      <c r="E31" s="5" t="s">
        <v>63</v>
      </c>
      <c r="F31" s="5" t="s">
        <v>530</v>
      </c>
      <c r="G31" s="5" t="s">
        <v>531</v>
      </c>
      <c r="H31" s="5"/>
      <c r="I31" s="5"/>
      <c r="J31" s="5"/>
    </row>
    <row r="32" spans="1:10" ht="40.049999999999997" customHeight="1" x14ac:dyDescent="0.25">
      <c r="A32" s="2" t="s">
        <v>341</v>
      </c>
      <c r="B32" s="2" t="s">
        <v>82</v>
      </c>
      <c r="C32" s="3" t="s">
        <v>532</v>
      </c>
      <c r="D32" s="3" t="s">
        <v>14</v>
      </c>
      <c r="E32" s="3" t="s">
        <v>63</v>
      </c>
      <c r="F32" s="3" t="s">
        <v>533</v>
      </c>
      <c r="G32" s="3" t="s">
        <v>534</v>
      </c>
      <c r="H32" s="3"/>
      <c r="I32" s="3"/>
      <c r="J32" s="3"/>
    </row>
    <row r="33" spans="1:10" ht="40.049999999999997" customHeight="1" x14ac:dyDescent="0.25">
      <c r="A33" s="4" t="s">
        <v>346</v>
      </c>
      <c r="B33" s="4" t="s">
        <v>82</v>
      </c>
      <c r="C33" s="5" t="s">
        <v>535</v>
      </c>
      <c r="D33" s="5" t="s">
        <v>14</v>
      </c>
      <c r="E33" s="5" t="s">
        <v>63</v>
      </c>
      <c r="F33" s="5" t="s">
        <v>536</v>
      </c>
      <c r="G33" s="5" t="s">
        <v>534</v>
      </c>
      <c r="H33" s="5"/>
      <c r="I33" s="5"/>
      <c r="J33" s="5"/>
    </row>
    <row r="34" spans="1:10" ht="40.049999999999997" customHeight="1" x14ac:dyDescent="0.25">
      <c r="A34" s="2" t="s">
        <v>351</v>
      </c>
      <c r="B34" s="2" t="s">
        <v>96</v>
      </c>
      <c r="C34" s="3" t="s">
        <v>352</v>
      </c>
      <c r="D34" s="3" t="s">
        <v>14</v>
      </c>
      <c r="E34" s="3" t="s">
        <v>537</v>
      </c>
      <c r="F34" s="3" t="s">
        <v>538</v>
      </c>
      <c r="G34" s="3" t="s">
        <v>539</v>
      </c>
      <c r="H34" s="3"/>
      <c r="I34" s="3"/>
      <c r="J34" s="3"/>
    </row>
    <row r="35" spans="1:10" ht="40.049999999999997" customHeight="1" x14ac:dyDescent="0.25">
      <c r="A35" s="4" t="s">
        <v>356</v>
      </c>
      <c r="B35" s="4" t="s">
        <v>96</v>
      </c>
      <c r="C35" s="5" t="s">
        <v>357</v>
      </c>
      <c r="D35" s="5" t="s">
        <v>14</v>
      </c>
      <c r="E35" s="5" t="s">
        <v>540</v>
      </c>
      <c r="F35" s="5" t="s">
        <v>541</v>
      </c>
      <c r="G35" s="5" t="s">
        <v>542</v>
      </c>
      <c r="H35" s="5"/>
      <c r="I35" s="5"/>
      <c r="J35" s="5"/>
    </row>
    <row r="36" spans="1:10" ht="40.049999999999997" customHeight="1" x14ac:dyDescent="0.25">
      <c r="A36" s="2" t="s">
        <v>362</v>
      </c>
      <c r="B36" s="2" t="s">
        <v>96</v>
      </c>
      <c r="C36" s="3" t="s">
        <v>543</v>
      </c>
      <c r="D36" s="3" t="s">
        <v>14</v>
      </c>
      <c r="E36" s="3" t="s">
        <v>63</v>
      </c>
      <c r="F36" s="3" t="s">
        <v>544</v>
      </c>
      <c r="G36" s="3" t="s">
        <v>545</v>
      </c>
      <c r="H36" s="3"/>
      <c r="I36" s="3"/>
      <c r="J36" s="3"/>
    </row>
    <row r="37" spans="1:10" ht="40.049999999999997" customHeight="1" x14ac:dyDescent="0.25">
      <c r="A37" s="4" t="s">
        <v>367</v>
      </c>
      <c r="B37" s="4" t="s">
        <v>115</v>
      </c>
      <c r="C37" s="5" t="s">
        <v>546</v>
      </c>
      <c r="D37" s="5" t="s">
        <v>14</v>
      </c>
      <c r="E37" s="5" t="s">
        <v>547</v>
      </c>
      <c r="F37" s="5" t="s">
        <v>548</v>
      </c>
      <c r="G37" s="5" t="s">
        <v>549</v>
      </c>
      <c r="H37" s="5"/>
      <c r="I37" s="5"/>
      <c r="J37" s="5"/>
    </row>
    <row r="38" spans="1:10" ht="40.049999999999997" customHeight="1" x14ac:dyDescent="0.25">
      <c r="A38" s="2" t="s">
        <v>373</v>
      </c>
      <c r="B38" s="2" t="s">
        <v>115</v>
      </c>
      <c r="C38" s="3" t="s">
        <v>374</v>
      </c>
      <c r="D38" s="3" t="s">
        <v>14</v>
      </c>
      <c r="E38" s="3" t="s">
        <v>63</v>
      </c>
      <c r="F38" s="3" t="s">
        <v>550</v>
      </c>
      <c r="G38" s="3" t="s">
        <v>377</v>
      </c>
      <c r="H38" s="3"/>
      <c r="I38" s="3"/>
      <c r="J38" s="3"/>
    </row>
    <row r="39" spans="1:10" ht="40.049999999999997" customHeight="1" x14ac:dyDescent="0.25">
      <c r="A39" s="4" t="s">
        <v>378</v>
      </c>
      <c r="B39" s="4" t="s">
        <v>115</v>
      </c>
      <c r="C39" s="5" t="s">
        <v>551</v>
      </c>
      <c r="D39" s="5" t="s">
        <v>14</v>
      </c>
      <c r="E39" s="5" t="s">
        <v>63</v>
      </c>
      <c r="F39" s="5" t="s">
        <v>552</v>
      </c>
      <c r="G39" s="5" t="s">
        <v>553</v>
      </c>
      <c r="H39" s="5"/>
      <c r="I39" s="5"/>
      <c r="J39" s="5"/>
    </row>
    <row r="40" spans="1:10" ht="40.049999999999997" customHeight="1" x14ac:dyDescent="0.25">
      <c r="A40" s="2" t="s">
        <v>383</v>
      </c>
      <c r="B40" s="2" t="s">
        <v>132</v>
      </c>
      <c r="C40" s="3" t="s">
        <v>384</v>
      </c>
      <c r="D40" s="3" t="s">
        <v>14</v>
      </c>
      <c r="E40" s="3" t="s">
        <v>554</v>
      </c>
      <c r="F40" s="3" t="s">
        <v>555</v>
      </c>
      <c r="G40" s="3" t="s">
        <v>556</v>
      </c>
      <c r="H40" s="3"/>
      <c r="I40" s="3"/>
      <c r="J40" s="3"/>
    </row>
    <row r="41" spans="1:10" ht="40.049999999999997" customHeight="1" x14ac:dyDescent="0.25">
      <c r="A41" s="4" t="s">
        <v>388</v>
      </c>
      <c r="B41" s="4" t="s">
        <v>132</v>
      </c>
      <c r="C41" s="5" t="s">
        <v>389</v>
      </c>
      <c r="D41" s="5" t="s">
        <v>14</v>
      </c>
      <c r="E41" s="5" t="s">
        <v>557</v>
      </c>
      <c r="F41" s="5" t="s">
        <v>558</v>
      </c>
      <c r="G41" s="5" t="s">
        <v>559</v>
      </c>
      <c r="H41" s="5"/>
      <c r="I41" s="5"/>
      <c r="J41" s="5"/>
    </row>
    <row r="42" spans="1:10" ht="40.049999999999997" customHeight="1" x14ac:dyDescent="0.25">
      <c r="A42" s="2" t="s">
        <v>394</v>
      </c>
      <c r="B42" s="2" t="s">
        <v>132</v>
      </c>
      <c r="C42" s="3" t="s">
        <v>560</v>
      </c>
      <c r="D42" s="3" t="s">
        <v>14</v>
      </c>
      <c r="E42" s="3" t="s">
        <v>63</v>
      </c>
      <c r="F42" s="3" t="s">
        <v>561</v>
      </c>
      <c r="G42" s="3" t="s">
        <v>562</v>
      </c>
      <c r="H42" s="3"/>
      <c r="I42" s="3"/>
      <c r="J42" s="3"/>
    </row>
    <row r="43" spans="1:10" ht="40.049999999999997" customHeight="1" x14ac:dyDescent="0.25">
      <c r="A43" s="4" t="s">
        <v>398</v>
      </c>
      <c r="B43" s="4" t="s">
        <v>146</v>
      </c>
      <c r="C43" s="5" t="s">
        <v>563</v>
      </c>
      <c r="D43" s="5" t="s">
        <v>14</v>
      </c>
      <c r="E43" s="5" t="s">
        <v>63</v>
      </c>
      <c r="F43" s="5" t="s">
        <v>564</v>
      </c>
      <c r="G43" s="5" t="s">
        <v>565</v>
      </c>
      <c r="H43" s="5"/>
      <c r="I43" s="5"/>
      <c r="J43" s="5"/>
    </row>
    <row r="44" spans="1:10" ht="40.049999999999997" customHeight="1" x14ac:dyDescent="0.25">
      <c r="A44" s="2" t="s">
        <v>402</v>
      </c>
      <c r="B44" s="2" t="s">
        <v>146</v>
      </c>
      <c r="C44" s="3" t="s">
        <v>403</v>
      </c>
      <c r="D44" s="3" t="s">
        <v>14</v>
      </c>
      <c r="E44" s="3" t="s">
        <v>63</v>
      </c>
      <c r="F44" s="3" t="s">
        <v>475</v>
      </c>
      <c r="G44" s="3" t="s">
        <v>405</v>
      </c>
      <c r="H44" s="3"/>
      <c r="I44" s="3"/>
      <c r="J44" s="3"/>
    </row>
    <row r="45" spans="1:10" ht="40.049999999999997" customHeight="1" x14ac:dyDescent="0.25">
      <c r="A45" s="4" t="s">
        <v>406</v>
      </c>
      <c r="B45" s="4" t="s">
        <v>159</v>
      </c>
      <c r="C45" s="5" t="s">
        <v>566</v>
      </c>
      <c r="D45" s="5" t="s">
        <v>14</v>
      </c>
      <c r="E45" s="5" t="s">
        <v>567</v>
      </c>
      <c r="F45" s="5" t="s">
        <v>568</v>
      </c>
      <c r="G45" s="5" t="s">
        <v>569</v>
      </c>
      <c r="H45" s="5"/>
      <c r="I45" s="5"/>
      <c r="J45" s="5"/>
    </row>
    <row r="46" spans="1:10" ht="40.049999999999997" customHeight="1" x14ac:dyDescent="0.25">
      <c r="A46" s="2" t="s">
        <v>411</v>
      </c>
      <c r="B46" s="2" t="s">
        <v>159</v>
      </c>
      <c r="C46" s="3" t="s">
        <v>570</v>
      </c>
      <c r="D46" s="3" t="s">
        <v>14</v>
      </c>
      <c r="E46" s="3" t="s">
        <v>63</v>
      </c>
      <c r="F46" s="3" t="s">
        <v>571</v>
      </c>
      <c r="G46" s="3" t="s">
        <v>572</v>
      </c>
      <c r="H46" s="3"/>
      <c r="I46" s="3"/>
      <c r="J46" s="3"/>
    </row>
    <row r="47" spans="1:10" ht="40.049999999999997" customHeight="1" x14ac:dyDescent="0.25">
      <c r="A47" s="4" t="s">
        <v>414</v>
      </c>
      <c r="B47" s="4" t="s">
        <v>159</v>
      </c>
      <c r="C47" s="5" t="s">
        <v>415</v>
      </c>
      <c r="D47" s="5" t="s">
        <v>14</v>
      </c>
      <c r="E47" s="5" t="s">
        <v>63</v>
      </c>
      <c r="F47" s="5" t="s">
        <v>573</v>
      </c>
      <c r="G47" s="5" t="s">
        <v>418</v>
      </c>
      <c r="H47" s="5"/>
      <c r="I47" s="5"/>
      <c r="J47" s="5"/>
    </row>
    <row r="48" spans="1:10" ht="40.049999999999997" customHeight="1" x14ac:dyDescent="0.25">
      <c r="A48" s="2" t="s">
        <v>419</v>
      </c>
      <c r="B48" s="2" t="s">
        <v>9</v>
      </c>
      <c r="C48" s="3" t="s">
        <v>574</v>
      </c>
      <c r="D48" s="3" t="s">
        <v>14</v>
      </c>
      <c r="E48" s="3" t="s">
        <v>11</v>
      </c>
      <c r="F48" s="3" t="s">
        <v>500</v>
      </c>
      <c r="G48" s="3" t="s">
        <v>423</v>
      </c>
      <c r="H48" s="3"/>
      <c r="I48" s="3"/>
      <c r="J48" s="3"/>
    </row>
    <row r="49" spans="1:10" ht="40.049999999999997" customHeight="1" x14ac:dyDescent="0.25">
      <c r="A49" s="4" t="s">
        <v>424</v>
      </c>
      <c r="B49" s="4" t="s">
        <v>42</v>
      </c>
      <c r="C49" s="5" t="s">
        <v>575</v>
      </c>
      <c r="D49" s="5" t="s">
        <v>14</v>
      </c>
      <c r="E49" s="5" t="s">
        <v>11</v>
      </c>
      <c r="F49" s="5" t="s">
        <v>576</v>
      </c>
      <c r="G49" s="5" t="s">
        <v>577</v>
      </c>
      <c r="H49" s="5"/>
      <c r="I49" s="5"/>
      <c r="J49" s="5"/>
    </row>
    <row r="50" spans="1:10" ht="40.049999999999997" customHeight="1" x14ac:dyDescent="0.25">
      <c r="A50" s="2" t="s">
        <v>428</v>
      </c>
      <c r="B50" s="2" t="s">
        <v>96</v>
      </c>
      <c r="C50" s="3" t="s">
        <v>578</v>
      </c>
      <c r="D50" s="3" t="s">
        <v>14</v>
      </c>
      <c r="E50" s="3" t="s">
        <v>63</v>
      </c>
      <c r="F50" s="3" t="s">
        <v>579</v>
      </c>
      <c r="G50" s="3" t="s">
        <v>580</v>
      </c>
      <c r="H50" s="3"/>
      <c r="I50" s="3"/>
      <c r="J50" s="3"/>
    </row>
    <row r="51" spans="1:10" ht="40.049999999999997" customHeight="1" x14ac:dyDescent="0.25">
      <c r="A51" s="4" t="s">
        <v>433</v>
      </c>
      <c r="B51" s="4" t="s">
        <v>72</v>
      </c>
      <c r="C51" s="5" t="s">
        <v>581</v>
      </c>
      <c r="D51" s="5" t="s">
        <v>14</v>
      </c>
      <c r="E51" s="5" t="s">
        <v>582</v>
      </c>
      <c r="F51" s="5" t="s">
        <v>583</v>
      </c>
      <c r="G51" s="5" t="s">
        <v>584</v>
      </c>
      <c r="H51" s="5"/>
      <c r="I51" s="5"/>
      <c r="J51" s="5"/>
    </row>
    <row r="52" spans="1:10" ht="40.049999999999997" customHeight="1" x14ac:dyDescent="0.25">
      <c r="A52" s="2" t="s">
        <v>437</v>
      </c>
      <c r="B52" s="2" t="s">
        <v>82</v>
      </c>
      <c r="C52" s="3" t="s">
        <v>585</v>
      </c>
      <c r="D52" s="3" t="s">
        <v>14</v>
      </c>
      <c r="E52" s="3" t="s">
        <v>63</v>
      </c>
      <c r="F52" s="3" t="s">
        <v>586</v>
      </c>
      <c r="G52" s="3" t="s">
        <v>587</v>
      </c>
      <c r="H52" s="3"/>
      <c r="I52" s="3"/>
      <c r="J52" s="3"/>
    </row>
    <row r="53" spans="1:10" ht="40.049999999999997" customHeight="1" x14ac:dyDescent="0.25">
      <c r="A53" s="4" t="s">
        <v>441</v>
      </c>
      <c r="B53" s="4" t="s">
        <v>115</v>
      </c>
      <c r="C53" s="5" t="s">
        <v>588</v>
      </c>
      <c r="D53" s="5" t="s">
        <v>14</v>
      </c>
      <c r="E53" s="5" t="s">
        <v>589</v>
      </c>
      <c r="F53" s="5" t="s">
        <v>590</v>
      </c>
      <c r="G53" s="5" t="s">
        <v>591</v>
      </c>
      <c r="H53" s="5"/>
      <c r="I53" s="5"/>
      <c r="J53" s="5"/>
    </row>
    <row r="55" spans="1:10" x14ac:dyDescent="0.25">
      <c r="A55" s="13" t="s">
        <v>592</v>
      </c>
      <c r="B55" s="9"/>
      <c r="C55" s="9"/>
    </row>
    <row r="56" spans="1:10" ht="26.4" x14ac:dyDescent="0.25">
      <c r="A56" s="6" t="s">
        <v>593</v>
      </c>
      <c r="B56" s="7">
        <f>COUNTA(A4:A53)</f>
        <v>50</v>
      </c>
    </row>
    <row r="57" spans="1:10" x14ac:dyDescent="0.25">
      <c r="A57" s="6" t="s">
        <v>594</v>
      </c>
      <c r="B57" s="7">
        <f>COUNTIF(I4:I53,"PASS")</f>
        <v>0</v>
      </c>
    </row>
    <row r="58" spans="1:10" x14ac:dyDescent="0.25">
      <c r="A58" s="6" t="s">
        <v>595</v>
      </c>
      <c r="B58" s="7">
        <f>COUNTIF(I4:I53,"FAIL")</f>
        <v>0</v>
      </c>
    </row>
    <row r="59" spans="1:10" ht="26.4" x14ac:dyDescent="0.25">
      <c r="A59" s="6" t="s">
        <v>596</v>
      </c>
      <c r="B59" s="7">
        <f>COUNTIF(I4:I53,"")</f>
        <v>50</v>
      </c>
    </row>
    <row r="60" spans="1:10" ht="26.4" x14ac:dyDescent="0.25">
      <c r="A60" s="6" t="s">
        <v>597</v>
      </c>
      <c r="B60" s="7" t="str">
        <f>IF(B56&gt;0,ROUND(B57/B56*100,1)&amp;"%","N/A")</f>
        <v>0%</v>
      </c>
    </row>
  </sheetData>
  <mergeCells count="6">
    <mergeCell ref="D2:F2"/>
    <mergeCell ref="A1:J1"/>
    <mergeCell ref="G2:H2"/>
    <mergeCell ref="I2:J2"/>
    <mergeCell ref="A55:C55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3</vt:i4>
      </vt:variant>
    </vt:vector>
  </HeadingPairs>
  <TitlesOfParts>
    <vt:vector size="3" baseType="lpstr">
      <vt:lpstr>Test Scenarios</vt:lpstr>
      <vt:lpstr>Test Cases</vt:lpstr>
      <vt:lpstr>Test Result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Dương Tuấn</cp:lastModifiedBy>
  <dcterms:created xsi:type="dcterms:W3CDTF">2026-03-11T00:25:14Z</dcterms:created>
  <dcterms:modified xsi:type="dcterms:W3CDTF">2026-03-11T01:07:31Z</dcterms:modified>
</cp:coreProperties>
</file>